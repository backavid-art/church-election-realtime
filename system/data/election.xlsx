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Volumes/ypdch/11.항존직선거/2023 항존직 선거/"/>
    </mc:Choice>
  </mc:AlternateContent>
  <xr:revisionPtr revIDLastSave="0" documentId="8_{95B9B22F-FFE2-1B42-9CB0-B7EE516A7CDF}" xr6:coauthVersionLast="47" xr6:coauthVersionMax="47" xr10:uidLastSave="{00000000-0000-0000-0000-000000000000}"/>
  <bookViews>
    <workbookView xWindow="1240" yWindow="2620" windowWidth="24360" windowHeight="24720" xr2:uid="{00000000-000D-0000-FFFF-FFFF00000000}"/>
  </bookViews>
  <sheets>
    <sheet name="장로 1차 선거 개표 집계표" sheetId="1" r:id="rId1"/>
    <sheet name="조별합계표" sheetId="19" r:id="rId2"/>
    <sheet name="개표집계표A" sheetId="21" r:id="rId3"/>
    <sheet name="Sheet1" sheetId="26" r:id="rId4"/>
    <sheet name="개표집계표B" sheetId="24" r:id="rId5"/>
    <sheet name="개표집계표C" sheetId="25" r:id="rId6"/>
  </sheets>
  <definedNames>
    <definedName name="_xlnm._FilterDatabase" localSheetId="0" hidden="1">'장로 1차 선거 개표 집계표'!$A$10:$G$42</definedName>
    <definedName name="_xlnm._FilterDatabase" localSheetId="3" hidden="1">Sheet1!$C$10:$C$331</definedName>
    <definedName name="_xlnm.Print_Area" localSheetId="0">'장로 1차 선거 개표 집계표'!$A$1:$G$42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21" l="1"/>
  <c r="J52" i="21"/>
  <c r="E51" i="19"/>
  <c r="E52" i="19"/>
  <c r="E53" i="19"/>
  <c r="D51" i="19"/>
  <c r="D52" i="19"/>
  <c r="D53" i="19"/>
  <c r="C54" i="19"/>
  <c r="C55" i="19"/>
  <c r="J66" i="25"/>
  <c r="J66" i="21"/>
  <c r="J66" i="24"/>
  <c r="J5" i="21"/>
  <c r="C4" i="19" s="1"/>
  <c r="J5" i="24"/>
  <c r="D4" i="19" s="1"/>
  <c r="J5" i="25"/>
  <c r="E4" i="19" s="1"/>
  <c r="J6" i="21"/>
  <c r="J7" i="21"/>
  <c r="J8" i="21"/>
  <c r="J9" i="21"/>
  <c r="J10" i="21"/>
  <c r="J11" i="21"/>
  <c r="J12" i="21"/>
  <c r="J13" i="21"/>
  <c r="J14" i="21"/>
  <c r="J15" i="21"/>
  <c r="C14" i="19" s="1"/>
  <c r="J16" i="21"/>
  <c r="J17" i="21"/>
  <c r="J18" i="21"/>
  <c r="C17" i="19" s="1"/>
  <c r="J19" i="21"/>
  <c r="J20" i="21"/>
  <c r="J21" i="21"/>
  <c r="J22" i="21"/>
  <c r="J23" i="21"/>
  <c r="C22" i="19" s="1"/>
  <c r="J24" i="21"/>
  <c r="J25" i="21"/>
  <c r="J26" i="21"/>
  <c r="J27" i="21"/>
  <c r="J28" i="21"/>
  <c r="C27" i="19" s="1"/>
  <c r="J29" i="21"/>
  <c r="C28" i="19" s="1"/>
  <c r="J30" i="21"/>
  <c r="C29" i="19" s="1"/>
  <c r="J31" i="21"/>
  <c r="C30" i="19" s="1"/>
  <c r="J32" i="21"/>
  <c r="J33" i="21"/>
  <c r="C32" i="19" s="1"/>
  <c r="J34" i="21"/>
  <c r="J35" i="21"/>
  <c r="C34" i="19" s="1"/>
  <c r="J36" i="21"/>
  <c r="C35" i="19" s="1"/>
  <c r="J37" i="21"/>
  <c r="C36" i="19" s="1"/>
  <c r="J38" i="21"/>
  <c r="C37" i="19" s="1"/>
  <c r="J39" i="21"/>
  <c r="C38" i="19" s="1"/>
  <c r="J40" i="21"/>
  <c r="C39" i="19" s="1"/>
  <c r="J41" i="21"/>
  <c r="C40" i="19" s="1"/>
  <c r="J42" i="21"/>
  <c r="J43" i="21"/>
  <c r="C42" i="19" s="1"/>
  <c r="J44" i="21"/>
  <c r="C43" i="19" s="1"/>
  <c r="J45" i="21"/>
  <c r="J46" i="21"/>
  <c r="C45" i="19" s="1"/>
  <c r="J47" i="21"/>
  <c r="C46" i="19" s="1"/>
  <c r="J48" i="21"/>
  <c r="C47" i="19" s="1"/>
  <c r="J49" i="21"/>
  <c r="C48" i="19" s="1"/>
  <c r="J50" i="21"/>
  <c r="C49" i="19" s="1"/>
  <c r="J51" i="21"/>
  <c r="C50" i="19" s="1"/>
  <c r="J53" i="21"/>
  <c r="C52" i="19" s="1"/>
  <c r="F52" i="19" s="1"/>
  <c r="O59" i="1" s="1"/>
  <c r="J54" i="21"/>
  <c r="C53" i="19" s="1"/>
  <c r="J55" i="21"/>
  <c r="J56" i="21"/>
  <c r="J57" i="21"/>
  <c r="J59" i="21"/>
  <c r="J60" i="21"/>
  <c r="J61" i="21"/>
  <c r="J62" i="21"/>
  <c r="J63" i="21"/>
  <c r="J64" i="21"/>
  <c r="J65" i="21"/>
  <c r="J6" i="24"/>
  <c r="D5" i="19" s="1"/>
  <c r="J7" i="24"/>
  <c r="J8" i="24"/>
  <c r="J9" i="24"/>
  <c r="J10" i="24"/>
  <c r="J11" i="24"/>
  <c r="D10" i="19" s="1"/>
  <c r="J12" i="24"/>
  <c r="D11" i="19" s="1"/>
  <c r="J13" i="24"/>
  <c r="D12" i="19" s="1"/>
  <c r="J14" i="24"/>
  <c r="D13" i="19" s="1"/>
  <c r="J15" i="24"/>
  <c r="D14" i="19" s="1"/>
  <c r="J16" i="24"/>
  <c r="J17" i="24"/>
  <c r="J18" i="24"/>
  <c r="D17" i="19" s="1"/>
  <c r="J19" i="24"/>
  <c r="D18" i="19" s="1"/>
  <c r="J20" i="24"/>
  <c r="D19" i="19" s="1"/>
  <c r="J21" i="24"/>
  <c r="D20" i="19" s="1"/>
  <c r="J22" i="24"/>
  <c r="D21" i="19" s="1"/>
  <c r="J23" i="24"/>
  <c r="J24" i="24"/>
  <c r="J25" i="24"/>
  <c r="D24" i="19" s="1"/>
  <c r="J26" i="24"/>
  <c r="J27" i="24"/>
  <c r="D26" i="19" s="1"/>
  <c r="J28" i="24"/>
  <c r="D27" i="19" s="1"/>
  <c r="J29" i="24"/>
  <c r="D28" i="19" s="1"/>
  <c r="J30" i="24"/>
  <c r="D29" i="19" s="1"/>
  <c r="J31" i="24"/>
  <c r="D30" i="19" s="1"/>
  <c r="J32" i="24"/>
  <c r="J33" i="24"/>
  <c r="J34" i="24"/>
  <c r="D33" i="19" s="1"/>
  <c r="J35" i="24"/>
  <c r="D34" i="19" s="1"/>
  <c r="J36" i="24"/>
  <c r="D35" i="19" s="1"/>
  <c r="J37" i="24"/>
  <c r="J38" i="24"/>
  <c r="D37" i="19" s="1"/>
  <c r="J39" i="24"/>
  <c r="D38" i="19" s="1"/>
  <c r="J40" i="24"/>
  <c r="J41" i="24"/>
  <c r="D40" i="19" s="1"/>
  <c r="J42" i="24"/>
  <c r="J43" i="24"/>
  <c r="D42" i="19" s="1"/>
  <c r="J44" i="24"/>
  <c r="J45" i="24"/>
  <c r="D44" i="19" s="1"/>
  <c r="J46" i="24"/>
  <c r="D45" i="19" s="1"/>
  <c r="J47" i="24"/>
  <c r="D46" i="19" s="1"/>
  <c r="J48" i="24"/>
  <c r="D47" i="19" s="1"/>
  <c r="J49" i="24"/>
  <c r="D48" i="19" s="1"/>
  <c r="J50" i="24"/>
  <c r="J51" i="24"/>
  <c r="D50" i="19" s="1"/>
  <c r="J52" i="24"/>
  <c r="J53" i="24"/>
  <c r="J54" i="24"/>
  <c r="J55" i="24"/>
  <c r="D54" i="19" s="1"/>
  <c r="J56" i="24"/>
  <c r="D55" i="19" s="1"/>
  <c r="J57" i="24"/>
  <c r="J58" i="24"/>
  <c r="J59" i="24"/>
  <c r="J60" i="24"/>
  <c r="J61" i="24"/>
  <c r="J62" i="24"/>
  <c r="J63" i="24"/>
  <c r="J64" i="24"/>
  <c r="J65" i="24"/>
  <c r="J6" i="25"/>
  <c r="J7" i="25"/>
  <c r="J8" i="25"/>
  <c r="J9" i="25"/>
  <c r="J10" i="25"/>
  <c r="J11" i="25"/>
  <c r="J12" i="25"/>
  <c r="E11" i="19" s="1"/>
  <c r="J13" i="25"/>
  <c r="J14" i="25"/>
  <c r="J15" i="25"/>
  <c r="E14" i="19" s="1"/>
  <c r="J16" i="25"/>
  <c r="J17" i="25"/>
  <c r="J18" i="25"/>
  <c r="J19" i="25"/>
  <c r="J20" i="25"/>
  <c r="J21" i="25"/>
  <c r="J22" i="25"/>
  <c r="J23" i="25"/>
  <c r="E22" i="19" s="1"/>
  <c r="J24" i="25"/>
  <c r="J25" i="25"/>
  <c r="J26" i="25"/>
  <c r="J27" i="25"/>
  <c r="E26" i="19" s="1"/>
  <c r="J28" i="25"/>
  <c r="J29" i="25"/>
  <c r="J30" i="25"/>
  <c r="E29" i="19" s="1"/>
  <c r="J31" i="25"/>
  <c r="J32" i="25"/>
  <c r="E31" i="19" s="1"/>
  <c r="J33" i="25"/>
  <c r="E32" i="19" s="1"/>
  <c r="J34" i="25"/>
  <c r="E33" i="19" s="1"/>
  <c r="J35" i="25"/>
  <c r="E34" i="19" s="1"/>
  <c r="J36" i="25"/>
  <c r="E35" i="19" s="1"/>
  <c r="J37" i="25"/>
  <c r="J38" i="25"/>
  <c r="E37" i="19" s="1"/>
  <c r="J39" i="25"/>
  <c r="E38" i="19" s="1"/>
  <c r="J40" i="25"/>
  <c r="E39" i="19" s="1"/>
  <c r="J41" i="25"/>
  <c r="E40" i="19" s="1"/>
  <c r="J42" i="25"/>
  <c r="E41" i="19" s="1"/>
  <c r="J43" i="25"/>
  <c r="E42" i="19" s="1"/>
  <c r="J44" i="25"/>
  <c r="E43" i="19" s="1"/>
  <c r="J45" i="25"/>
  <c r="J46" i="25"/>
  <c r="E45" i="19" s="1"/>
  <c r="J47" i="25"/>
  <c r="E46" i="19" s="1"/>
  <c r="J48" i="25"/>
  <c r="E47" i="19" s="1"/>
  <c r="J49" i="25"/>
  <c r="E48" i="19" s="1"/>
  <c r="J50" i="25"/>
  <c r="E49" i="19" s="1"/>
  <c r="J51" i="25"/>
  <c r="E50" i="19" s="1"/>
  <c r="J52" i="25"/>
  <c r="J53" i="25"/>
  <c r="J54" i="25"/>
  <c r="J55" i="25"/>
  <c r="E54" i="19" s="1"/>
  <c r="J56" i="25"/>
  <c r="E55" i="19" s="1"/>
  <c r="J57" i="25"/>
  <c r="J58" i="25"/>
  <c r="J59" i="25"/>
  <c r="J60" i="25"/>
  <c r="J61" i="25"/>
  <c r="J62" i="25"/>
  <c r="J63" i="25"/>
  <c r="J64" i="25"/>
  <c r="J65" i="25"/>
  <c r="C5" i="19"/>
  <c r="E5" i="19"/>
  <c r="C6" i="19"/>
  <c r="D6" i="19"/>
  <c r="E6" i="19"/>
  <c r="C7" i="19"/>
  <c r="D7" i="19"/>
  <c r="E7" i="19"/>
  <c r="C8" i="19"/>
  <c r="D8" i="19"/>
  <c r="E8" i="19"/>
  <c r="C9" i="19"/>
  <c r="D9" i="19"/>
  <c r="E9" i="19"/>
  <c r="C10" i="19"/>
  <c r="E10" i="19"/>
  <c r="C11" i="19"/>
  <c r="C12" i="19"/>
  <c r="E12" i="19"/>
  <c r="C13" i="19"/>
  <c r="E13" i="19"/>
  <c r="C15" i="19"/>
  <c r="D15" i="19"/>
  <c r="E15" i="19"/>
  <c r="C16" i="19"/>
  <c r="D16" i="19"/>
  <c r="E16" i="19"/>
  <c r="E17" i="19"/>
  <c r="C18" i="19"/>
  <c r="E18" i="19"/>
  <c r="C19" i="19"/>
  <c r="E19" i="19"/>
  <c r="C20" i="19"/>
  <c r="E20" i="19"/>
  <c r="C21" i="19"/>
  <c r="E21" i="19"/>
  <c r="D22" i="19"/>
  <c r="C23" i="19"/>
  <c r="D23" i="19"/>
  <c r="E23" i="19"/>
  <c r="C24" i="19"/>
  <c r="E24" i="19"/>
  <c r="C25" i="19"/>
  <c r="E25" i="19"/>
  <c r="C26" i="19"/>
  <c r="E27" i="19"/>
  <c r="E28" i="19"/>
  <c r="E30" i="19"/>
  <c r="C31" i="19"/>
  <c r="D31" i="19"/>
  <c r="D32" i="19"/>
  <c r="C33" i="19"/>
  <c r="D36" i="19"/>
  <c r="E36" i="19"/>
  <c r="D39" i="19"/>
  <c r="C41" i="19"/>
  <c r="D41" i="19"/>
  <c r="D43" i="19"/>
  <c r="C44" i="19"/>
  <c r="E44" i="19"/>
  <c r="D49" i="19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F56" i="19"/>
  <c r="F57" i="19"/>
  <c r="F58" i="19"/>
  <c r="F59" i="19"/>
  <c r="F62" i="19"/>
  <c r="B5" i="1"/>
  <c r="F61" i="19"/>
  <c r="B6" i="1"/>
  <c r="L52" i="21" l="1"/>
  <c r="F54" i="19"/>
  <c r="J67" i="25"/>
  <c r="E63" i="19" s="1"/>
  <c r="F53" i="19"/>
  <c r="O60" i="1" s="1"/>
  <c r="C51" i="19"/>
  <c r="F51" i="19" s="1"/>
  <c r="O58" i="1" s="1"/>
  <c r="F55" i="19"/>
  <c r="F15" i="19"/>
  <c r="O22" i="1" s="1"/>
  <c r="F6" i="19"/>
  <c r="O13" i="1" s="1"/>
  <c r="F31" i="19"/>
  <c r="O38" i="1" s="1"/>
  <c r="F11" i="19"/>
  <c r="O18" i="1" s="1"/>
  <c r="F39" i="19"/>
  <c r="O46" i="1" s="1"/>
  <c r="F22" i="19"/>
  <c r="O29" i="1" s="1"/>
  <c r="F14" i="19"/>
  <c r="O21" i="1" s="1"/>
  <c r="F44" i="19"/>
  <c r="O51" i="1" s="1"/>
  <c r="F28" i="19"/>
  <c r="O35" i="1" s="1"/>
  <c r="F20" i="19"/>
  <c r="O27" i="1" s="1"/>
  <c r="F19" i="19"/>
  <c r="O26" i="1" s="1"/>
  <c r="F40" i="19"/>
  <c r="O47" i="1" s="1"/>
  <c r="J67" i="24"/>
  <c r="D63" i="19" s="1"/>
  <c r="F12" i="19"/>
  <c r="O19" i="1" s="1"/>
  <c r="F36" i="19"/>
  <c r="O43" i="1" s="1"/>
  <c r="F30" i="19"/>
  <c r="O37" i="1" s="1"/>
  <c r="F27" i="19"/>
  <c r="O34" i="1" s="1"/>
  <c r="F7" i="19"/>
  <c r="O14" i="1" s="1"/>
  <c r="F5" i="19"/>
  <c r="O12" i="1" s="1"/>
  <c r="F49" i="19"/>
  <c r="O56" i="1" s="1"/>
  <c r="F23" i="19"/>
  <c r="O30" i="1" s="1"/>
  <c r="F47" i="19"/>
  <c r="O54" i="1" s="1"/>
  <c r="F32" i="19"/>
  <c r="O39" i="1" s="1"/>
  <c r="F45" i="19"/>
  <c r="O52" i="1" s="1"/>
  <c r="D25" i="19"/>
  <c r="F25" i="19" s="1"/>
  <c r="O32" i="1" s="1"/>
  <c r="F21" i="19"/>
  <c r="O28" i="1" s="1"/>
  <c r="F29" i="19"/>
  <c r="O36" i="1" s="1"/>
  <c r="F41" i="19"/>
  <c r="O48" i="1" s="1"/>
  <c r="F33" i="19"/>
  <c r="O40" i="1" s="1"/>
  <c r="F24" i="19"/>
  <c r="O31" i="1" s="1"/>
  <c r="F18" i="19"/>
  <c r="O25" i="1" s="1"/>
  <c r="F9" i="19"/>
  <c r="O16" i="1" s="1"/>
  <c r="F46" i="19"/>
  <c r="O53" i="1" s="1"/>
  <c r="F38" i="19"/>
  <c r="O45" i="1" s="1"/>
  <c r="F48" i="19"/>
  <c r="O55" i="1" s="1"/>
  <c r="F26" i="19"/>
  <c r="O33" i="1" s="1"/>
  <c r="F13" i="19"/>
  <c r="O20" i="1" s="1"/>
  <c r="F17" i="19"/>
  <c r="O24" i="1" s="1"/>
  <c r="F8" i="19"/>
  <c r="O15" i="1" s="1"/>
  <c r="F43" i="19"/>
  <c r="O50" i="1" s="1"/>
  <c r="F35" i="19"/>
  <c r="O42" i="1" s="1"/>
  <c r="F37" i="19"/>
  <c r="O44" i="1" s="1"/>
  <c r="F50" i="19"/>
  <c r="O57" i="1" s="1"/>
  <c r="F42" i="19"/>
  <c r="O49" i="1" s="1"/>
  <c r="F34" i="19"/>
  <c r="O41" i="1" s="1"/>
  <c r="F16" i="19"/>
  <c r="O23" i="1" s="1"/>
  <c r="F10" i="19"/>
  <c r="O17" i="1" s="1"/>
  <c r="F4" i="19"/>
  <c r="O11" i="1" s="1"/>
  <c r="J67" i="21"/>
  <c r="C63" i="19" s="1"/>
  <c r="F63" i="19" l="1"/>
  <c r="B4" i="1" s="1"/>
  <c r="N33" i="1" s="1"/>
  <c r="P33" i="1" s="1"/>
  <c r="F60" i="19"/>
  <c r="N55" i="1" l="1"/>
  <c r="P55" i="1" s="1"/>
  <c r="Q55" i="1" s="1"/>
  <c r="N45" i="1"/>
  <c r="P45" i="1" s="1"/>
  <c r="Q45" i="1" s="1"/>
  <c r="N43" i="1"/>
  <c r="P43" i="1" s="1"/>
  <c r="Q43" i="1" s="1"/>
  <c r="N35" i="1"/>
  <c r="P35" i="1" s="1"/>
  <c r="N32" i="1"/>
  <c r="P32" i="1" s="1"/>
  <c r="Q32" i="1" s="1"/>
  <c r="N44" i="1"/>
  <c r="P44" i="1" s="1"/>
  <c r="Q44" i="1" s="1"/>
  <c r="N46" i="1"/>
  <c r="P46" i="1" s="1"/>
  <c r="Q46" i="1" s="1"/>
  <c r="N24" i="1"/>
  <c r="P24" i="1" s="1"/>
  <c r="Q24" i="1" s="1"/>
  <c r="N36" i="1"/>
  <c r="P36" i="1" s="1"/>
  <c r="N31" i="1"/>
  <c r="P31" i="1" s="1"/>
  <c r="Q31" i="1" s="1"/>
  <c r="N11" i="1"/>
  <c r="P11" i="1" s="1"/>
  <c r="N23" i="1"/>
  <c r="P23" i="1" s="1"/>
  <c r="Q23" i="1" s="1"/>
  <c r="N57" i="1"/>
  <c r="P57" i="1" s="1"/>
  <c r="Q57" i="1" s="1"/>
  <c r="N59" i="1"/>
  <c r="P59" i="1" s="1"/>
  <c r="Q59" i="1" s="1"/>
  <c r="N37" i="1"/>
  <c r="P37" i="1" s="1"/>
  <c r="Q37" i="1" s="1"/>
  <c r="N15" i="1"/>
  <c r="P15" i="1" s="1"/>
  <c r="Q15" i="1" s="1"/>
  <c r="N26" i="1"/>
  <c r="P26" i="1" s="1"/>
  <c r="Q26" i="1" s="1"/>
  <c r="N53" i="1"/>
  <c r="P53" i="1" s="1"/>
  <c r="Q53" i="1" s="1"/>
  <c r="N60" i="1"/>
  <c r="P60" i="1" s="1"/>
  <c r="Q60" i="1" s="1"/>
  <c r="N29" i="1"/>
  <c r="P29" i="1" s="1"/>
  <c r="Q29" i="1" s="1"/>
  <c r="N14" i="1"/>
  <c r="P14" i="1" s="1"/>
  <c r="Q14" i="1" s="1"/>
  <c r="N56" i="1"/>
  <c r="P56" i="1" s="1"/>
  <c r="Q56" i="1" s="1"/>
  <c r="N41" i="1"/>
  <c r="P41" i="1" s="1"/>
  <c r="N18" i="1"/>
  <c r="P18" i="1" s="1"/>
  <c r="Q18" i="1" s="1"/>
  <c r="N13" i="1"/>
  <c r="P13" i="1" s="1"/>
  <c r="N40" i="1"/>
  <c r="P40" i="1" s="1"/>
  <c r="Q40" i="1" s="1"/>
  <c r="N25" i="1"/>
  <c r="P25" i="1" s="1"/>
  <c r="Q25" i="1" s="1"/>
  <c r="N12" i="1"/>
  <c r="P12" i="1" s="1"/>
  <c r="Q12" i="1" s="1"/>
  <c r="N54" i="1"/>
  <c r="P54" i="1" s="1"/>
  <c r="Q54" i="1" s="1"/>
  <c r="N47" i="1"/>
  <c r="P47" i="1" s="1"/>
  <c r="Q47" i="1" s="1"/>
  <c r="N17" i="1"/>
  <c r="P17" i="1" s="1"/>
  <c r="Q17" i="1" s="1"/>
  <c r="N27" i="1"/>
  <c r="P27" i="1" s="1"/>
  <c r="Q27" i="1" s="1"/>
  <c r="N39" i="1"/>
  <c r="P39" i="1" s="1"/>
  <c r="Q39" i="1" s="1"/>
  <c r="N50" i="1"/>
  <c r="P50" i="1" s="1"/>
  <c r="N19" i="1"/>
  <c r="P19" i="1" s="1"/>
  <c r="N38" i="1"/>
  <c r="P38" i="1" s="1"/>
  <c r="Q38" i="1" s="1"/>
  <c r="N16" i="1"/>
  <c r="P16" i="1" s="1"/>
  <c r="Q16" i="1" s="1"/>
  <c r="N42" i="1"/>
  <c r="P42" i="1" s="1"/>
  <c r="N28" i="1"/>
  <c r="P28" i="1" s="1"/>
  <c r="Q28" i="1" s="1"/>
  <c r="N30" i="1"/>
  <c r="P30" i="1" s="1"/>
  <c r="Q30" i="1" s="1"/>
  <c r="N34" i="1"/>
  <c r="P34" i="1" s="1"/>
  <c r="Q34" i="1" s="1"/>
  <c r="N52" i="1"/>
  <c r="P52" i="1" s="1"/>
  <c r="N22" i="1"/>
  <c r="P22" i="1" s="1"/>
  <c r="Q22" i="1" s="1"/>
  <c r="N49" i="1"/>
  <c r="P49" i="1" s="1"/>
  <c r="Q49" i="1" s="1"/>
  <c r="N20" i="1"/>
  <c r="P20" i="1" s="1"/>
  <c r="Q20" i="1" s="1"/>
  <c r="N51" i="1"/>
  <c r="P51" i="1" s="1"/>
  <c r="Q51" i="1" s="1"/>
  <c r="N21" i="1"/>
  <c r="P21" i="1" s="1"/>
  <c r="Q21" i="1" s="1"/>
  <c r="N58" i="1"/>
  <c r="P58" i="1" s="1"/>
  <c r="Q58" i="1" s="1"/>
  <c r="N48" i="1"/>
  <c r="P48" i="1" s="1"/>
  <c r="Q48" i="1" s="1"/>
  <c r="Q33" i="1"/>
  <c r="L59" i="1" l="1"/>
  <c r="L39" i="1"/>
  <c r="L52" i="1"/>
  <c r="L50" i="1"/>
  <c r="L47" i="1"/>
  <c r="L24" i="1"/>
  <c r="L36" i="1"/>
  <c r="L58" i="1"/>
  <c r="L46" i="1"/>
  <c r="L60" i="1"/>
  <c r="L19" i="1"/>
  <c r="L13" i="1"/>
  <c r="L41" i="1"/>
  <c r="L42" i="1"/>
  <c r="L15" i="1"/>
  <c r="L28" i="1"/>
  <c r="L37" i="1"/>
  <c r="Q41" i="1"/>
  <c r="Q50" i="1"/>
  <c r="L48" i="1"/>
  <c r="Q42" i="1"/>
  <c r="L51" i="1"/>
  <c r="L54" i="1"/>
  <c r="L22" i="1"/>
  <c r="L57" i="1"/>
  <c r="L38" i="1"/>
  <c r="L16" i="1"/>
  <c r="L25" i="1"/>
  <c r="L14" i="1"/>
  <c r="L34" i="1"/>
  <c r="L26" i="1"/>
  <c r="Q36" i="1"/>
  <c r="L32" i="1"/>
  <c r="L31" i="1"/>
  <c r="L29" i="1"/>
  <c r="Q11" i="1"/>
  <c r="Q13" i="1"/>
  <c r="L56" i="1"/>
  <c r="L53" i="1"/>
  <c r="L20" i="1"/>
  <c r="L27" i="1"/>
  <c r="L55" i="1"/>
  <c r="L23" i="1"/>
  <c r="L21" i="1"/>
  <c r="L18" i="1"/>
  <c r="L30" i="1"/>
  <c r="Q19" i="1"/>
  <c r="Q52" i="1"/>
  <c r="L12" i="1"/>
  <c r="L44" i="1"/>
  <c r="L43" i="1"/>
  <c r="L49" i="1"/>
  <c r="L11" i="1"/>
  <c r="L35" i="1"/>
  <c r="L40" i="1"/>
  <c r="L17" i="1"/>
  <c r="Q35" i="1"/>
  <c r="L33" i="1"/>
  <c r="L45" i="1"/>
  <c r="C21" i="1" l="1"/>
  <c r="B58" i="1"/>
  <c r="B42" i="1"/>
  <c r="F35" i="1"/>
  <c r="D35" i="1"/>
  <c r="D29" i="1"/>
  <c r="C37" i="1"/>
  <c r="B48" i="1"/>
  <c r="E33" i="1"/>
  <c r="G33" i="1" s="1"/>
  <c r="E14" i="1"/>
  <c r="G14" i="1" s="1"/>
  <c r="F37" i="1"/>
  <c r="D39" i="1"/>
  <c r="E20" i="1"/>
  <c r="G20" i="1" s="1"/>
  <c r="B22" i="1"/>
  <c r="D58" i="1"/>
  <c r="D48" i="1"/>
  <c r="F19" i="1"/>
  <c r="D16" i="1"/>
  <c r="B59" i="1"/>
  <c r="F47" i="1"/>
  <c r="B27" i="1"/>
  <c r="E25" i="1"/>
  <c r="G25" i="1" s="1"/>
  <c r="D41" i="1"/>
  <c r="E47" i="1"/>
  <c r="G47" i="1" s="1"/>
  <c r="B38" i="1"/>
  <c r="E29" i="1"/>
  <c r="G29" i="1" s="1"/>
  <c r="C53" i="1"/>
  <c r="B36" i="1"/>
  <c r="E50" i="1"/>
  <c r="G50" i="1" s="1"/>
  <c r="E18" i="1"/>
  <c r="G18" i="1" s="1"/>
  <c r="B57" i="1"/>
  <c r="D46" i="1"/>
  <c r="D34" i="1"/>
  <c r="D18" i="1"/>
  <c r="C46" i="1"/>
  <c r="D15" i="1"/>
  <c r="F20" i="1"/>
  <c r="E40" i="1"/>
  <c r="G40" i="1" s="1"/>
  <c r="D12" i="1"/>
  <c r="B15" i="1"/>
  <c r="C60" i="1"/>
  <c r="C52" i="1"/>
  <c r="F57" i="1"/>
  <c r="B47" i="1"/>
  <c r="D17" i="1"/>
  <c r="F50" i="1"/>
  <c r="D51" i="1"/>
  <c r="E57" i="1"/>
  <c r="G57" i="1" s="1"/>
  <c r="C13" i="1"/>
  <c r="C32" i="1"/>
  <c r="D56" i="1"/>
  <c r="F45" i="1"/>
  <c r="B35" i="1"/>
  <c r="D24" i="1"/>
  <c r="C12" i="1"/>
  <c r="C49" i="1"/>
  <c r="C33" i="1"/>
  <c r="C17" i="1"/>
  <c r="F55" i="1"/>
  <c r="B45" i="1"/>
  <c r="B33" i="1"/>
  <c r="B17" i="1"/>
  <c r="C38" i="1"/>
  <c r="B14" i="1"/>
  <c r="F16" i="1"/>
  <c r="C39" i="1"/>
  <c r="C44" i="1"/>
  <c r="D11" i="1"/>
  <c r="E34" i="1"/>
  <c r="G34" i="1" s="1"/>
  <c r="F18" i="1"/>
  <c r="F60" i="1"/>
  <c r="C28" i="1"/>
  <c r="B55" i="1"/>
  <c r="D44" i="1"/>
  <c r="F33" i="1"/>
  <c r="B23" i="1"/>
  <c r="B11" i="1"/>
  <c r="E46" i="1"/>
  <c r="G46" i="1" s="1"/>
  <c r="E30" i="1"/>
  <c r="G30" i="1" s="1"/>
  <c r="F15" i="1"/>
  <c r="D54" i="1"/>
  <c r="F43" i="1"/>
  <c r="D30" i="1"/>
  <c r="E15" i="1"/>
  <c r="G15" i="1" s="1"/>
  <c r="E35" i="1"/>
  <c r="G35" i="1" s="1"/>
  <c r="F12" i="1"/>
  <c r="C15" i="1"/>
  <c r="C31" i="1"/>
  <c r="E16" i="1"/>
  <c r="G16" i="1" s="1"/>
  <c r="B29" i="1"/>
  <c r="E60" i="1"/>
  <c r="G60" i="1" s="1"/>
  <c r="C27" i="1"/>
  <c r="C18" i="1"/>
  <c r="B28" i="1"/>
  <c r="C20" i="1"/>
  <c r="F25" i="1"/>
  <c r="E49" i="1"/>
  <c r="G49" i="1" s="1"/>
  <c r="F40" i="1"/>
  <c r="B34" i="1"/>
  <c r="D37" i="1"/>
  <c r="B54" i="1"/>
  <c r="F14" i="1"/>
  <c r="C40" i="1"/>
  <c r="D43" i="1"/>
  <c r="F53" i="1"/>
  <c r="F21" i="1"/>
  <c r="C29" i="1"/>
  <c r="B41" i="1"/>
  <c r="C14" i="1"/>
  <c r="F52" i="1"/>
  <c r="C24" i="1"/>
  <c r="B40" i="1"/>
  <c r="D52" i="1"/>
  <c r="D20" i="1"/>
  <c r="E42" i="1"/>
  <c r="G42" i="1" s="1"/>
  <c r="E26" i="1"/>
  <c r="G26" i="1" s="1"/>
  <c r="B13" i="1"/>
  <c r="F51" i="1"/>
  <c r="F39" i="1"/>
  <c r="F27" i="1"/>
  <c r="C54" i="1"/>
  <c r="E31" i="1"/>
  <c r="G31" i="1" s="1"/>
  <c r="D27" i="1"/>
  <c r="C59" i="1"/>
  <c r="E24" i="1"/>
  <c r="G24" i="1" s="1"/>
  <c r="C43" i="1"/>
  <c r="F26" i="1"/>
  <c r="D13" i="1"/>
  <c r="E13" i="1"/>
  <c r="G13" i="1" s="1"/>
  <c r="B52" i="1"/>
  <c r="C48" i="1"/>
  <c r="E21" i="1"/>
  <c r="G21" i="1" s="1"/>
  <c r="F54" i="1"/>
  <c r="C16" i="1"/>
  <c r="D47" i="1"/>
  <c r="E17" i="1"/>
  <c r="G17" i="1" s="1"/>
  <c r="D32" i="1"/>
  <c r="C45" i="1"/>
  <c r="B53" i="1"/>
  <c r="C34" i="1"/>
  <c r="F22" i="1"/>
  <c r="F48" i="1"/>
  <c r="F34" i="1"/>
  <c r="B12" i="1"/>
  <c r="B31" i="1"/>
  <c r="E58" i="1"/>
  <c r="G58" i="1" s="1"/>
  <c r="E41" i="1"/>
  <c r="G41" i="1" s="1"/>
  <c r="B16" i="1"/>
  <c r="D53" i="1"/>
  <c r="D49" i="1"/>
  <c r="E37" i="1"/>
  <c r="G37" i="1" s="1"/>
  <c r="D25" i="1"/>
  <c r="D45" i="1"/>
  <c r="D21" i="1"/>
  <c r="F36" i="1"/>
  <c r="C36" i="1"/>
  <c r="B50" i="1"/>
  <c r="C55" i="1"/>
  <c r="B51" i="1"/>
  <c r="D40" i="1"/>
  <c r="F29" i="1"/>
  <c r="B19" i="1"/>
  <c r="C57" i="1"/>
  <c r="C41" i="1"/>
  <c r="C25" i="1"/>
  <c r="F11" i="1"/>
  <c r="D50" i="1"/>
  <c r="D38" i="1"/>
  <c r="D26" i="1"/>
  <c r="E51" i="1"/>
  <c r="G51" i="1" s="1"/>
  <c r="C30" i="1"/>
  <c r="F24" i="1"/>
  <c r="E56" i="1"/>
  <c r="G56" i="1" s="1"/>
  <c r="C23" i="1"/>
  <c r="F38" i="1"/>
  <c r="B24" i="1"/>
  <c r="D36" i="1"/>
  <c r="D31" i="1"/>
  <c r="F42" i="1"/>
  <c r="B60" i="1"/>
  <c r="C11" i="1"/>
  <c r="B32" i="1"/>
  <c r="C56" i="1"/>
  <c r="B56" i="1"/>
  <c r="D57" i="1"/>
  <c r="B43" i="1"/>
  <c r="E11" i="1"/>
  <c r="G11" i="1" s="1"/>
  <c r="D14" i="1"/>
  <c r="E12" i="1"/>
  <c r="G12" i="1" s="1"/>
  <c r="F56" i="1"/>
  <c r="B30" i="1"/>
  <c r="B44" i="1"/>
  <c r="E53" i="1"/>
  <c r="G53" i="1" s="1"/>
  <c r="F41" i="1"/>
  <c r="F44" i="1"/>
  <c r="D59" i="1"/>
  <c r="B46" i="1"/>
  <c r="E45" i="1"/>
  <c r="G45" i="1" s="1"/>
  <c r="F58" i="1"/>
  <c r="B20" i="1"/>
  <c r="F30" i="1"/>
  <c r="D55" i="1"/>
  <c r="D33" i="1"/>
  <c r="F32" i="1"/>
  <c r="F46" i="1"/>
  <c r="D60" i="1"/>
  <c r="F49" i="1"/>
  <c r="B39" i="1"/>
  <c r="D28" i="1"/>
  <c r="F17" i="1"/>
  <c r="E54" i="1"/>
  <c r="G54" i="1" s="1"/>
  <c r="E38" i="1"/>
  <c r="G38" i="1" s="1"/>
  <c r="E22" i="1"/>
  <c r="G22" i="1" s="1"/>
  <c r="F59" i="1"/>
  <c r="B49" i="1"/>
  <c r="B37" i="1"/>
  <c r="B25" i="1"/>
  <c r="C50" i="1"/>
  <c r="C22" i="1"/>
  <c r="D23" i="1"/>
  <c r="C47" i="1"/>
  <c r="E19" i="1"/>
  <c r="G19" i="1" s="1"/>
  <c r="B26" i="1"/>
  <c r="E44" i="1"/>
  <c r="G44" i="1" s="1"/>
  <c r="E28" i="1"/>
  <c r="G28" i="1" s="1"/>
  <c r="F13" i="1"/>
  <c r="F23" i="1"/>
  <c r="E59" i="1"/>
  <c r="G59" i="1" s="1"/>
  <c r="E43" i="1"/>
  <c r="G43" i="1" s="1"/>
  <c r="E27" i="1"/>
  <c r="G27" i="1" s="1"/>
  <c r="E52" i="1"/>
  <c r="G52" i="1" s="1"/>
  <c r="E36" i="1"/>
  <c r="G36" i="1" s="1"/>
  <c r="D22" i="1"/>
  <c r="C58" i="1"/>
  <c r="C42" i="1"/>
  <c r="C26" i="1"/>
  <c r="D19" i="1"/>
  <c r="C51" i="1"/>
  <c r="C35" i="1"/>
  <c r="C19" i="1"/>
  <c r="D42" i="1"/>
  <c r="F31" i="1"/>
  <c r="B21" i="1"/>
  <c r="E55" i="1"/>
  <c r="G55" i="1" s="1"/>
  <c r="E39" i="1"/>
  <c r="G39" i="1" s="1"/>
  <c r="E23" i="1"/>
  <c r="G23" i="1" s="1"/>
  <c r="F28" i="1"/>
  <c r="B18" i="1"/>
  <c r="E48" i="1"/>
  <c r="G48" i="1" s="1"/>
  <c r="E32" i="1"/>
  <c r="G32" i="1" s="1"/>
</calcChain>
</file>

<file path=xl/sharedStrings.xml><?xml version="1.0" encoding="utf-8"?>
<sst xmlns="http://schemas.openxmlformats.org/spreadsheetml/2006/main" count="2685" uniqueCount="155">
  <si>
    <t>2023년 장로 1차 선거 개표 집계표</t>
    <phoneticPr fontId="1" type="noConversion"/>
  </si>
  <si>
    <t>⊙ 투표일자 :</t>
    <phoneticPr fontId="1" type="noConversion"/>
  </si>
  <si>
    <t xml:space="preserve">          2023 년   05 월   21 일</t>
    <phoneticPr fontId="1" type="noConversion"/>
  </si>
  <si>
    <t>작성자</t>
    <phoneticPr fontId="1" type="noConversion"/>
  </si>
  <si>
    <t>확인자</t>
    <phoneticPr fontId="1" type="noConversion"/>
  </si>
  <si>
    <t>감수자</t>
    <phoneticPr fontId="1" type="noConversion"/>
  </si>
  <si>
    <t>⊙ 총투표자 :</t>
    <phoneticPr fontId="1" type="noConversion"/>
  </si>
  <si>
    <t>명</t>
    <phoneticPr fontId="1" type="noConversion"/>
  </si>
  <si>
    <t>⊙ 무효표수 :</t>
    <phoneticPr fontId="1" type="noConversion"/>
  </si>
  <si>
    <t>⊙ 유효투표 :</t>
    <phoneticPr fontId="1" type="noConversion"/>
  </si>
  <si>
    <t>⊙ 개표시간 :</t>
    <phoneticPr fontId="1" type="noConversion"/>
  </si>
  <si>
    <t xml:space="preserve"> 16:00 ~ 18:00</t>
    <phoneticPr fontId="1" type="noConversion"/>
  </si>
  <si>
    <t>⊙ 작성일자 :</t>
    <phoneticPr fontId="1" type="noConversion"/>
  </si>
  <si>
    <t xml:space="preserve">       2023 년   05 월   21 일,  오후 4:00</t>
    <phoneticPr fontId="1" type="noConversion"/>
  </si>
  <si>
    <t>연번</t>
    <phoneticPr fontId="1" type="noConversion"/>
  </si>
  <si>
    <t>이 름</t>
    <phoneticPr fontId="1" type="noConversion"/>
  </si>
  <si>
    <t>총투표수</t>
    <phoneticPr fontId="1" type="noConversion"/>
  </si>
  <si>
    <t>득표수</t>
    <phoneticPr fontId="1" type="noConversion"/>
  </si>
  <si>
    <t>득표율</t>
    <phoneticPr fontId="1" type="noConversion"/>
  </si>
  <si>
    <t>득표순위</t>
    <phoneticPr fontId="1" type="noConversion"/>
  </si>
  <si>
    <t>당선여부</t>
    <phoneticPr fontId="1" type="noConversion"/>
  </si>
  <si>
    <t>2023년 양평동교회 항존직 1차 선거 개표 집계표 - 조별 합계표</t>
    <phoneticPr fontId="1" type="noConversion"/>
  </si>
  <si>
    <t>기 호</t>
    <phoneticPr fontId="1" type="noConversion"/>
  </si>
  <si>
    <t>A조</t>
    <phoneticPr fontId="1" type="noConversion"/>
  </si>
  <si>
    <t>B조</t>
    <phoneticPr fontId="1" type="noConversion"/>
  </si>
  <si>
    <t>C조</t>
    <phoneticPr fontId="1" type="noConversion"/>
  </si>
  <si>
    <t>합계</t>
    <phoneticPr fontId="1" type="noConversion"/>
  </si>
  <si>
    <t>문동학</t>
  </si>
  <si>
    <t>이주이</t>
  </si>
  <si>
    <t>이종수</t>
  </si>
  <si>
    <t>조근배</t>
  </si>
  <si>
    <t>심효섭</t>
  </si>
  <si>
    <t>이강우</t>
  </si>
  <si>
    <t>반재수</t>
  </si>
  <si>
    <t>장태익</t>
  </si>
  <si>
    <t>정용석</t>
  </si>
  <si>
    <t>유양준</t>
  </si>
  <si>
    <t>황영수</t>
  </si>
  <si>
    <t>원종철</t>
  </si>
  <si>
    <t>진인식</t>
  </si>
  <si>
    <t>김희정</t>
  </si>
  <si>
    <t>김관형</t>
  </si>
  <si>
    <t>김남영</t>
  </si>
  <si>
    <t>조규현</t>
  </si>
  <si>
    <t>최영철</t>
  </si>
  <si>
    <t>최인석</t>
  </si>
  <si>
    <t>백운재</t>
  </si>
  <si>
    <t>최광호</t>
  </si>
  <si>
    <t>윤진</t>
  </si>
  <si>
    <t>이준호</t>
  </si>
  <si>
    <t>김태성</t>
  </si>
  <si>
    <t>이규현</t>
  </si>
  <si>
    <t>이현준</t>
  </si>
  <si>
    <t>김홍균</t>
  </si>
  <si>
    <t>강지원</t>
  </si>
  <si>
    <t>손성길</t>
  </si>
  <si>
    <t>김홍철</t>
  </si>
  <si>
    <t>권오성</t>
  </si>
  <si>
    <t>남홍주</t>
  </si>
  <si>
    <t>문용오</t>
  </si>
  <si>
    <t>이한수</t>
  </si>
  <si>
    <t>김정운</t>
  </si>
  <si>
    <t>김성옥</t>
  </si>
  <si>
    <t>정재호</t>
  </si>
  <si>
    <t>배지훈</t>
  </si>
  <si>
    <t>정보람</t>
  </si>
  <si>
    <t>송학수</t>
  </si>
  <si>
    <t>강동일</t>
  </si>
  <si>
    <t>손유재</t>
  </si>
  <si>
    <t>박재환</t>
  </si>
  <si>
    <t>강명구</t>
  </si>
  <si>
    <t>김한경</t>
  </si>
  <si>
    <t>백선일</t>
  </si>
  <si>
    <t>안방선</t>
  </si>
  <si>
    <t>유효 투표수</t>
    <phoneticPr fontId="1" type="noConversion"/>
  </si>
  <si>
    <t>무효 투표수</t>
    <phoneticPr fontId="1" type="noConversion"/>
  </si>
  <si>
    <t>총 투표자수</t>
    <phoneticPr fontId="1" type="noConversion"/>
  </si>
  <si>
    <t>2023년 양평동교회 항존직 1차 선거 개표 집계표 - A조</t>
    <phoneticPr fontId="1" type="noConversion"/>
  </si>
  <si>
    <t>개표자 : 남택정</t>
    <phoneticPr fontId="1" type="noConversion"/>
  </si>
  <si>
    <t>일렬번호</t>
    <phoneticPr fontId="1" type="noConversion"/>
  </si>
  <si>
    <t>비고</t>
    <phoneticPr fontId="1" type="noConversion"/>
  </si>
  <si>
    <t>후보합계</t>
    <phoneticPr fontId="1" type="noConversion"/>
  </si>
  <si>
    <t>이름</t>
    <phoneticPr fontId="1" type="noConversion"/>
  </si>
  <si>
    <t>문동학</t>
    <phoneticPr fontId="1" type="noConversion"/>
  </si>
  <si>
    <t>이주이</t>
    <phoneticPr fontId="1" type="noConversion"/>
  </si>
  <si>
    <t>이종수</t>
    <phoneticPr fontId="1" type="noConversion"/>
  </si>
  <si>
    <t>조근배</t>
    <phoneticPr fontId="1" type="noConversion"/>
  </si>
  <si>
    <t>심효섭</t>
    <phoneticPr fontId="1" type="noConversion"/>
  </si>
  <si>
    <t>이강우</t>
    <phoneticPr fontId="1" type="noConversion"/>
  </si>
  <si>
    <t>반재수</t>
    <phoneticPr fontId="1" type="noConversion"/>
  </si>
  <si>
    <t>장태익</t>
    <phoneticPr fontId="1" type="noConversion"/>
  </si>
  <si>
    <t>정용석</t>
    <phoneticPr fontId="1" type="noConversion"/>
  </si>
  <si>
    <t>유양준</t>
    <phoneticPr fontId="1" type="noConversion"/>
  </si>
  <si>
    <t>원종철</t>
    <phoneticPr fontId="1" type="noConversion"/>
  </si>
  <si>
    <t>진인식</t>
    <phoneticPr fontId="1" type="noConversion"/>
  </si>
  <si>
    <t>김희정</t>
    <phoneticPr fontId="1" type="noConversion"/>
  </si>
  <si>
    <t>김관형</t>
    <phoneticPr fontId="1" type="noConversion"/>
  </si>
  <si>
    <t>김남영</t>
    <phoneticPr fontId="1" type="noConversion"/>
  </si>
  <si>
    <t>조규현</t>
    <phoneticPr fontId="1" type="noConversion"/>
  </si>
  <si>
    <t>최영철</t>
    <phoneticPr fontId="1" type="noConversion"/>
  </si>
  <si>
    <t>최인석</t>
    <phoneticPr fontId="1" type="noConversion"/>
  </si>
  <si>
    <t>백운재</t>
    <phoneticPr fontId="1" type="noConversion"/>
  </si>
  <si>
    <t>최광호</t>
    <phoneticPr fontId="1" type="noConversion"/>
  </si>
  <si>
    <t>윤진</t>
    <phoneticPr fontId="1" type="noConversion"/>
  </si>
  <si>
    <t>이준호</t>
    <phoneticPr fontId="1" type="noConversion"/>
  </si>
  <si>
    <t>김태성</t>
    <phoneticPr fontId="1" type="noConversion"/>
  </si>
  <si>
    <t>이규현</t>
    <phoneticPr fontId="1" type="noConversion"/>
  </si>
  <si>
    <t>이현준</t>
    <phoneticPr fontId="1" type="noConversion"/>
  </si>
  <si>
    <t>김홍균</t>
    <phoneticPr fontId="1" type="noConversion"/>
  </si>
  <si>
    <t>강지원</t>
    <phoneticPr fontId="1" type="noConversion"/>
  </si>
  <si>
    <t>손성길</t>
    <phoneticPr fontId="1" type="noConversion"/>
  </si>
  <si>
    <t>김홍철</t>
    <phoneticPr fontId="1" type="noConversion"/>
  </si>
  <si>
    <t>권오성</t>
    <phoneticPr fontId="1" type="noConversion"/>
  </si>
  <si>
    <t>남홍주</t>
    <phoneticPr fontId="1" type="noConversion"/>
  </si>
  <si>
    <t>문용오</t>
    <phoneticPr fontId="1" type="noConversion"/>
  </si>
  <si>
    <t>이한수</t>
    <phoneticPr fontId="1" type="noConversion"/>
  </si>
  <si>
    <t>김정운</t>
    <phoneticPr fontId="1" type="noConversion"/>
  </si>
  <si>
    <t>김성옥</t>
    <phoneticPr fontId="1" type="noConversion"/>
  </si>
  <si>
    <t>정재호</t>
    <phoneticPr fontId="1" type="noConversion"/>
  </si>
  <si>
    <t>배지훈</t>
    <phoneticPr fontId="1" type="noConversion"/>
  </si>
  <si>
    <t>정보람</t>
    <phoneticPr fontId="1" type="noConversion"/>
  </si>
  <si>
    <t>송학수</t>
    <phoneticPr fontId="1" type="noConversion"/>
  </si>
  <si>
    <t>강동일</t>
    <phoneticPr fontId="1" type="noConversion"/>
  </si>
  <si>
    <t>손유재</t>
    <phoneticPr fontId="1" type="noConversion"/>
  </si>
  <si>
    <t>박재환</t>
    <phoneticPr fontId="1" type="noConversion"/>
  </si>
  <si>
    <t>강명구</t>
    <phoneticPr fontId="1" type="noConversion"/>
  </si>
  <si>
    <t>김한경</t>
    <phoneticPr fontId="1" type="noConversion"/>
  </si>
  <si>
    <t>백선일</t>
    <phoneticPr fontId="1" type="noConversion"/>
  </si>
  <si>
    <t>안방선</t>
    <phoneticPr fontId="1" type="noConversion"/>
  </si>
  <si>
    <t>무효표</t>
    <phoneticPr fontId="1" type="noConversion"/>
  </si>
  <si>
    <t>합계표</t>
    <phoneticPr fontId="1" type="noConversion"/>
  </si>
  <si>
    <t>백철우</t>
    <phoneticPr fontId="1" type="noConversion"/>
  </si>
  <si>
    <t>2023년 양평동교회 항존직 1차 선거 개표 집계표 - B조</t>
    <phoneticPr fontId="1" type="noConversion"/>
  </si>
  <si>
    <t>개표자 : 김영진</t>
    <phoneticPr fontId="1" type="noConversion"/>
  </si>
  <si>
    <t>2023년 양평동교회 항존직 1차 선거 개표 집계표 - C조</t>
    <phoneticPr fontId="1" type="noConversion"/>
  </si>
  <si>
    <t>개표자 : 백철우</t>
    <phoneticPr fontId="1" type="noConversion"/>
  </si>
  <si>
    <t>정성훈</t>
  </si>
  <si>
    <t>이정숙</t>
    <phoneticPr fontId="1" type="noConversion"/>
  </si>
  <si>
    <t>박재란</t>
  </si>
  <si>
    <t>조좌영</t>
    <phoneticPr fontId="1" type="noConversion"/>
  </si>
  <si>
    <t>이재화</t>
  </si>
  <si>
    <t>임경남</t>
    <phoneticPr fontId="1" type="noConversion"/>
  </si>
  <si>
    <t>황명수</t>
    <phoneticPr fontId="1" type="noConversion"/>
  </si>
  <si>
    <t>황덕태</t>
  </si>
  <si>
    <t>황덕태</t>
    <phoneticPr fontId="1" type="noConversion"/>
  </si>
  <si>
    <t>김진상</t>
  </si>
  <si>
    <t>김행숙</t>
  </si>
  <si>
    <t>김준석</t>
  </si>
  <si>
    <t>박세경</t>
  </si>
  <si>
    <t>박재란</t>
    <phoneticPr fontId="1" type="noConversion"/>
  </si>
  <si>
    <t>박세경</t>
    <phoneticPr fontId="1" type="noConversion"/>
  </si>
  <si>
    <t>김진상</t>
    <phoneticPr fontId="1" type="noConversion"/>
  </si>
  <si>
    <t>김준석</t>
    <phoneticPr fontId="1" type="noConversion"/>
  </si>
  <si>
    <t>이재화</t>
    <phoneticPr fontId="1" type="noConversion"/>
  </si>
  <si>
    <t>정성훈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</si>
</sst>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name val="HY중고딕"/>
      <family val="1"/>
      <charset val="129"/>
    </font>
    <font>
      <b/>
      <sz val="22"/>
      <name val="맑은 고딕"/>
      <family val="3"/>
      <charset val="129"/>
      <scheme val="major"/>
    </font>
    <font>
      <b/>
      <sz val="12"/>
      <name val="HY그래픽"/>
      <family val="1"/>
      <charset val="129"/>
    </font>
    <font>
      <sz val="12"/>
      <name val="HY그래픽"/>
      <family val="1"/>
      <charset val="129"/>
    </font>
    <font>
      <sz val="10"/>
      <name val="HY그래픽"/>
      <family val="1"/>
      <charset val="129"/>
    </font>
    <font>
      <b/>
      <sz val="22"/>
      <name val="HY그래픽"/>
      <family val="1"/>
      <charset val="129"/>
    </font>
    <font>
      <b/>
      <sz val="14"/>
      <name val="HY그래픽"/>
      <family val="1"/>
      <charset val="129"/>
    </font>
    <font>
      <sz val="14"/>
      <color theme="1"/>
      <name val="HY그래픽"/>
      <family val="1"/>
      <charset val="129"/>
    </font>
    <font>
      <sz val="14"/>
      <color indexed="8"/>
      <name val="HY그래픽"/>
      <family val="1"/>
      <charset val="129"/>
    </font>
    <font>
      <sz val="14"/>
      <name val="HY그래픽"/>
      <family val="1"/>
      <charset val="129"/>
    </font>
    <font>
      <b/>
      <sz val="14"/>
      <color theme="1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4"/>
      <color theme="0" tint="-0.34998626667073579"/>
      <name val="HY그래픽"/>
      <family val="1"/>
      <charset val="129"/>
    </font>
    <font>
      <b/>
      <sz val="18"/>
      <name val="맑은 고딕"/>
      <family val="2"/>
      <charset val="129"/>
      <scheme val="major"/>
    </font>
    <font>
      <b/>
      <sz val="16"/>
      <name val="돋움"/>
      <family val="2"/>
      <charset val="129"/>
    </font>
    <font>
      <sz val="11"/>
      <name val="맑은 고딕"/>
      <family val="2"/>
      <charset val="129"/>
      <scheme val="major"/>
    </font>
    <font>
      <sz val="16"/>
      <name val="돋움"/>
      <family val="3"/>
      <charset val="129"/>
    </font>
    <font>
      <b/>
      <sz val="16"/>
      <name val="Dotum"/>
      <family val="2"/>
      <charset val="129"/>
    </font>
    <font>
      <b/>
      <sz val="16"/>
      <color indexed="8"/>
      <name val="Dotum"/>
      <family val="2"/>
      <charset val="129"/>
    </font>
    <font>
      <sz val="14"/>
      <name val="HY그래픽"/>
      <family val="1"/>
    </font>
    <font>
      <b/>
      <sz val="14"/>
      <name val="HY그래픽"/>
      <family val="1"/>
    </font>
    <font>
      <b/>
      <sz val="14"/>
      <color theme="1"/>
      <name val="HY그래픽"/>
      <family val="1"/>
    </font>
    <font>
      <b/>
      <sz val="14"/>
      <color indexed="8"/>
      <name val="HY그래픽"/>
      <family val="1"/>
    </font>
    <font>
      <sz val="14"/>
      <color indexed="8"/>
      <name val="HY그래픽"/>
      <family val="1"/>
    </font>
    <font>
      <sz val="14"/>
      <color theme="1"/>
      <name val="HY그래픽"/>
      <family val="1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14" fontId="9" fillId="0" borderId="0" xfId="0" quotePrefix="1" applyNumberFormat="1" applyFont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0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49" fontId="12" fillId="2" borderId="10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10" fontId="13" fillId="0" borderId="21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10" fontId="30" fillId="5" borderId="1" xfId="0" applyNumberFormat="1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10" fontId="30" fillId="5" borderId="5" xfId="0" applyNumberFormat="1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30" fillId="5" borderId="31" xfId="0" applyFont="1" applyFill="1" applyBorder="1" applyAlignment="1">
      <alignment horizontal="center" vertical="center"/>
    </xf>
    <xf numFmtId="0" fontId="30" fillId="5" borderId="32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9" defaultPivotStyle="PivotStyleLight16"/>
  <colors>
    <mruColors>
      <color rgb="FFFFE9D9"/>
      <color rgb="FFCCFF99"/>
      <color rgb="FFFFFDD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60"/>
  <sheetViews>
    <sheetView tabSelected="1" topLeftCell="A8" zoomScale="85" zoomScaleNormal="85" zoomScaleSheetLayoutView="70" workbookViewId="0">
      <selection activeCell="J20" sqref="J20"/>
    </sheetView>
  </sheetViews>
  <sheetFormatPr baseColWidth="10" defaultColWidth="8.83203125" defaultRowHeight="14"/>
  <cols>
    <col min="1" max="1" width="14.33203125" style="6" customWidth="1"/>
    <col min="2" max="2" width="20.5" style="4" customWidth="1"/>
    <col min="3" max="3" width="20.5" style="3" customWidth="1"/>
    <col min="4" max="5" width="20.5" style="5" customWidth="1"/>
    <col min="6" max="6" width="24.1640625" style="5" customWidth="1"/>
    <col min="7" max="7" width="20.5" style="5" customWidth="1"/>
    <col min="12" max="12" width="11.6640625" hidden="1" customWidth="1"/>
    <col min="13" max="14" width="14" hidden="1" customWidth="1"/>
    <col min="15" max="15" width="16" hidden="1" customWidth="1"/>
    <col min="16" max="16" width="10.33203125" hidden="1" customWidth="1"/>
    <col min="17" max="17" width="11.6640625" hidden="1" customWidth="1"/>
  </cols>
  <sheetData>
    <row r="1" spans="1:17" ht="32">
      <c r="A1" s="90" t="s">
        <v>0</v>
      </c>
      <c r="B1" s="90"/>
      <c r="C1" s="90"/>
      <c r="D1" s="90"/>
      <c r="E1" s="90"/>
      <c r="F1" s="90"/>
      <c r="G1" s="90"/>
    </row>
    <row r="2" spans="1:17" ht="32">
      <c r="A2" s="7"/>
      <c r="B2" s="7"/>
      <c r="C2" s="7"/>
      <c r="D2" s="7"/>
      <c r="E2" s="7"/>
      <c r="F2" s="7"/>
      <c r="G2" s="7"/>
    </row>
    <row r="3" spans="1:17" ht="27" customHeight="1">
      <c r="A3" s="8" t="s">
        <v>1</v>
      </c>
      <c r="B3" s="22" t="s">
        <v>2</v>
      </c>
      <c r="C3" s="10"/>
      <c r="D3" s="11"/>
      <c r="E3" s="12" t="s">
        <v>3</v>
      </c>
      <c r="F3" s="12" t="s">
        <v>4</v>
      </c>
      <c r="G3" s="12" t="s">
        <v>5</v>
      </c>
    </row>
    <row r="4" spans="1:17" ht="27" customHeight="1">
      <c r="A4" s="8" t="s">
        <v>6</v>
      </c>
      <c r="B4" s="13">
        <f>조별합계표!F63</f>
        <v>409</v>
      </c>
      <c r="C4" s="9" t="s">
        <v>7</v>
      </c>
      <c r="D4" s="14"/>
      <c r="E4" s="88"/>
      <c r="F4" s="88"/>
      <c r="G4" s="89"/>
    </row>
    <row r="5" spans="1:17" ht="27" customHeight="1">
      <c r="A5" s="8" t="s">
        <v>8</v>
      </c>
      <c r="B5" s="13">
        <f>조별합계표!F62</f>
        <v>0</v>
      </c>
      <c r="C5" s="9" t="s">
        <v>7</v>
      </c>
      <c r="D5" s="14"/>
      <c r="E5" s="88"/>
      <c r="F5" s="88"/>
      <c r="G5" s="89"/>
    </row>
    <row r="6" spans="1:17" ht="27" customHeight="1">
      <c r="A6" s="8" t="s">
        <v>9</v>
      </c>
      <c r="B6" s="15">
        <f>조별합계표!F61</f>
        <v>0</v>
      </c>
      <c r="C6" s="16" t="s">
        <v>7</v>
      </c>
      <c r="D6" s="14"/>
      <c r="E6" s="88"/>
      <c r="F6" s="88"/>
      <c r="G6" s="89"/>
    </row>
    <row r="7" spans="1:17" ht="27" customHeight="1">
      <c r="A7" s="8" t="s">
        <v>10</v>
      </c>
      <c r="B7" s="13" t="s">
        <v>11</v>
      </c>
      <c r="C7" s="13"/>
      <c r="D7" s="14"/>
      <c r="E7" s="88"/>
      <c r="F7" s="88"/>
      <c r="G7" s="89"/>
    </row>
    <row r="8" spans="1:17" ht="27" customHeight="1">
      <c r="A8" s="8" t="s">
        <v>12</v>
      </c>
      <c r="B8" s="9" t="s">
        <v>13</v>
      </c>
      <c r="C8" s="13"/>
      <c r="D8" s="14"/>
      <c r="E8" s="17"/>
      <c r="F8" s="17"/>
      <c r="G8" s="18"/>
    </row>
    <row r="9" spans="1:17" ht="22.5" customHeight="1" thickBot="1">
      <c r="A9" s="19"/>
      <c r="B9" s="19"/>
      <c r="C9" s="19"/>
      <c r="D9" s="19"/>
      <c r="E9" s="19"/>
      <c r="F9" s="19"/>
      <c r="G9" s="19"/>
    </row>
    <row r="10" spans="1:17" s="1" customFormat="1" ht="41.25" customHeight="1" thickBot="1">
      <c r="A10" s="33" t="s">
        <v>14</v>
      </c>
      <c r="B10" s="38" t="s">
        <v>15</v>
      </c>
      <c r="C10" s="36" t="s">
        <v>16</v>
      </c>
      <c r="D10" s="34" t="s">
        <v>17</v>
      </c>
      <c r="E10" s="34" t="s">
        <v>18</v>
      </c>
      <c r="F10" s="34" t="s">
        <v>19</v>
      </c>
      <c r="G10" s="35" t="s">
        <v>20</v>
      </c>
      <c r="L10" s="80" t="s">
        <v>19</v>
      </c>
      <c r="M10" s="67" t="s">
        <v>15</v>
      </c>
      <c r="N10" s="68" t="s">
        <v>16</v>
      </c>
      <c r="O10" s="69" t="s">
        <v>17</v>
      </c>
      <c r="P10" s="69" t="s">
        <v>18</v>
      </c>
      <c r="Q10" s="70" t="s">
        <v>20</v>
      </c>
    </row>
    <row r="11" spans="1:17" s="2" customFormat="1" ht="47.25" customHeight="1" thickTop="1">
      <c r="A11" s="28">
        <v>1</v>
      </c>
      <c r="B11" s="39" t="str">
        <f t="shared" ref="B11:B42" si="0">VLOOKUP(ROW(A1), L$11:Q$60, 2, FALSE)</f>
        <v>정용석</v>
      </c>
      <c r="C11" s="37">
        <f t="shared" ref="C11:C42" si="1">VLOOKUP(ROW(A1), L$11:Q$60, 3, FALSE)</f>
        <v>409</v>
      </c>
      <c r="D11" s="29">
        <f t="shared" ref="D11:D42" si="2">VLOOKUP(ROW(A1), L$11:Q$60, 4, FALSE)</f>
        <v>198</v>
      </c>
      <c r="E11" s="30">
        <f t="shared" ref="E11:E42" si="3">VLOOKUP(ROW(A1), L$11:Q$60, 5, FALSE)</f>
        <v>0.4841075794621027</v>
      </c>
      <c r="F11" s="31">
        <f t="shared" ref="F11:F42" si="4">VLOOKUP(ROW(A1), L$11:Q$60, 1, FALSE)</f>
        <v>1</v>
      </c>
      <c r="G11" s="32" t="str">
        <f t="shared" ref="G11:G42" si="5">IF(E11&gt;=0.666,"당선","-")</f>
        <v>-</v>
      </c>
      <c r="L11" s="81">
        <f t="shared" ref="L11:L42" si="6">RANK(P11,$P$11:$P$60)</f>
        <v>12</v>
      </c>
      <c r="M11" s="72" t="str">
        <f>조별합계표!B4</f>
        <v>문동학</v>
      </c>
      <c r="N11" s="73">
        <f t="shared" ref="N11:N42" si="7">$B$4</f>
        <v>409</v>
      </c>
      <c r="O11" s="74">
        <f>조별합계표!F4</f>
        <v>21</v>
      </c>
      <c r="P11" s="75">
        <f t="shared" ref="P11:P42" si="8">O11/N11</f>
        <v>5.1344743276283619E-2</v>
      </c>
      <c r="Q11" s="76" t="str">
        <f t="shared" ref="Q11:Q42" si="9">IF(P11&gt;=0.666,"당선","-")</f>
        <v>-</v>
      </c>
    </row>
    <row r="12" spans="1:17" s="2" customFormat="1" ht="47.25" customHeight="1">
      <c r="A12" s="71">
        <v>2</v>
      </c>
      <c r="B12" s="72" t="str">
        <f t="shared" si="0"/>
        <v>반재수</v>
      </c>
      <c r="C12" s="73">
        <f t="shared" si="1"/>
        <v>409</v>
      </c>
      <c r="D12" s="74">
        <f t="shared" si="2"/>
        <v>191</v>
      </c>
      <c r="E12" s="75">
        <f t="shared" si="3"/>
        <v>0.4669926650366748</v>
      </c>
      <c r="F12" s="31">
        <f t="shared" si="4"/>
        <v>2</v>
      </c>
      <c r="G12" s="76" t="str">
        <f t="shared" si="5"/>
        <v>-</v>
      </c>
      <c r="L12" s="81">
        <f t="shared" si="6"/>
        <v>21</v>
      </c>
      <c r="M12" s="72" t="str">
        <f>조별합계표!B5</f>
        <v>이주이</v>
      </c>
      <c r="N12" s="73">
        <f t="shared" si="7"/>
        <v>409</v>
      </c>
      <c r="O12" s="74">
        <f>조별합계표!F5</f>
        <v>4</v>
      </c>
      <c r="P12" s="78">
        <f t="shared" si="8"/>
        <v>9.7799511002444987E-3</v>
      </c>
      <c r="Q12" s="79" t="str">
        <f t="shared" si="9"/>
        <v>-</v>
      </c>
    </row>
    <row r="13" spans="1:17" ht="47.25" customHeight="1">
      <c r="A13" s="71">
        <v>3</v>
      </c>
      <c r="B13" s="72" t="str">
        <f t="shared" si="0"/>
        <v>권오성</v>
      </c>
      <c r="C13" s="73">
        <f t="shared" si="1"/>
        <v>409</v>
      </c>
      <c r="D13" s="74">
        <f t="shared" si="2"/>
        <v>187</v>
      </c>
      <c r="E13" s="75">
        <f t="shared" si="3"/>
        <v>0.45721271393643031</v>
      </c>
      <c r="F13" s="31">
        <f t="shared" si="4"/>
        <v>3</v>
      </c>
      <c r="G13" s="76" t="str">
        <f t="shared" si="5"/>
        <v>-</v>
      </c>
      <c r="L13" s="81">
        <f t="shared" si="6"/>
        <v>10</v>
      </c>
      <c r="M13" s="72" t="str">
        <f>조별합계표!B6</f>
        <v>이종수</v>
      </c>
      <c r="N13" s="73">
        <f t="shared" si="7"/>
        <v>409</v>
      </c>
      <c r="O13" s="74">
        <f>조별합계표!F6</f>
        <v>26</v>
      </c>
      <c r="P13" s="78">
        <f t="shared" si="8"/>
        <v>6.3569682151589244E-2</v>
      </c>
      <c r="Q13" s="79" t="str">
        <f t="shared" si="9"/>
        <v>-</v>
      </c>
    </row>
    <row r="14" spans="1:17" ht="47.25" customHeight="1">
      <c r="A14" s="71">
        <v>4</v>
      </c>
      <c r="B14" s="72" t="str">
        <f t="shared" si="0"/>
        <v>조규현</v>
      </c>
      <c r="C14" s="73">
        <f t="shared" si="1"/>
        <v>409</v>
      </c>
      <c r="D14" s="74">
        <f t="shared" si="2"/>
        <v>95</v>
      </c>
      <c r="E14" s="75">
        <f t="shared" si="3"/>
        <v>0.23227383863080683</v>
      </c>
      <c r="F14" s="31">
        <f t="shared" si="4"/>
        <v>4</v>
      </c>
      <c r="G14" s="76" t="str">
        <f t="shared" si="5"/>
        <v>-</v>
      </c>
      <c r="L14" s="81">
        <f t="shared" si="6"/>
        <v>21</v>
      </c>
      <c r="M14" s="72" t="str">
        <f>조별합계표!B7</f>
        <v>조근배</v>
      </c>
      <c r="N14" s="73">
        <f t="shared" si="7"/>
        <v>409</v>
      </c>
      <c r="O14" s="74">
        <f>조별합계표!F7</f>
        <v>4</v>
      </c>
      <c r="P14" s="78">
        <f t="shared" si="8"/>
        <v>9.7799511002444987E-3</v>
      </c>
      <c r="Q14" s="79" t="str">
        <f t="shared" si="9"/>
        <v>-</v>
      </c>
    </row>
    <row r="15" spans="1:17" ht="47.25" customHeight="1">
      <c r="A15" s="71">
        <v>5</v>
      </c>
      <c r="B15" s="72" t="str">
        <f t="shared" si="0"/>
        <v>김희정</v>
      </c>
      <c r="C15" s="73">
        <f t="shared" si="1"/>
        <v>409</v>
      </c>
      <c r="D15" s="74">
        <f t="shared" si="2"/>
        <v>83</v>
      </c>
      <c r="E15" s="75">
        <f t="shared" si="3"/>
        <v>0.20293398533007334</v>
      </c>
      <c r="F15" s="31">
        <f t="shared" si="4"/>
        <v>5</v>
      </c>
      <c r="G15" s="76" t="str">
        <f t="shared" si="5"/>
        <v>-</v>
      </c>
      <c r="L15" s="81">
        <f t="shared" si="6"/>
        <v>20</v>
      </c>
      <c r="M15" s="72" t="str">
        <f>조별합계표!B8</f>
        <v>심효섭</v>
      </c>
      <c r="N15" s="73">
        <f t="shared" si="7"/>
        <v>409</v>
      </c>
      <c r="O15" s="74">
        <f>조별합계표!F8</f>
        <v>5</v>
      </c>
      <c r="P15" s="78">
        <f t="shared" si="8"/>
        <v>1.2224938875305624E-2</v>
      </c>
      <c r="Q15" s="79" t="str">
        <f t="shared" si="9"/>
        <v>-</v>
      </c>
    </row>
    <row r="16" spans="1:17" ht="47.25" customHeight="1">
      <c r="A16" s="71">
        <v>6</v>
      </c>
      <c r="B16" s="72" t="str">
        <f t="shared" si="0"/>
        <v>원종철</v>
      </c>
      <c r="C16" s="73">
        <f t="shared" si="1"/>
        <v>409</v>
      </c>
      <c r="D16" s="74">
        <f t="shared" si="2"/>
        <v>79</v>
      </c>
      <c r="E16" s="75">
        <f t="shared" si="3"/>
        <v>0.19315403422982885</v>
      </c>
      <c r="F16" s="31">
        <f t="shared" si="4"/>
        <v>6</v>
      </c>
      <c r="G16" s="76" t="str">
        <f t="shared" si="5"/>
        <v>-</v>
      </c>
      <c r="L16" s="81">
        <f t="shared" si="6"/>
        <v>19</v>
      </c>
      <c r="M16" s="72" t="str">
        <f>조별합계표!B9</f>
        <v>이강우</v>
      </c>
      <c r="N16" s="73">
        <f t="shared" si="7"/>
        <v>409</v>
      </c>
      <c r="O16" s="74">
        <f>조별합계표!F9</f>
        <v>8</v>
      </c>
      <c r="P16" s="78">
        <f t="shared" si="8"/>
        <v>1.9559902200488997E-2</v>
      </c>
      <c r="Q16" s="79" t="str">
        <f t="shared" si="9"/>
        <v>-</v>
      </c>
    </row>
    <row r="17" spans="1:17" ht="47.25" customHeight="1">
      <c r="A17" s="71">
        <v>7</v>
      </c>
      <c r="B17" s="72" t="str">
        <f t="shared" si="0"/>
        <v>이준호</v>
      </c>
      <c r="C17" s="73">
        <f t="shared" si="1"/>
        <v>409</v>
      </c>
      <c r="D17" s="74">
        <f t="shared" si="2"/>
        <v>73</v>
      </c>
      <c r="E17" s="75">
        <f t="shared" si="3"/>
        <v>0.17848410757946209</v>
      </c>
      <c r="F17" s="31">
        <f t="shared" si="4"/>
        <v>7</v>
      </c>
      <c r="G17" s="76" t="str">
        <f t="shared" si="5"/>
        <v>-</v>
      </c>
      <c r="L17" s="81">
        <f t="shared" si="6"/>
        <v>2</v>
      </c>
      <c r="M17" s="72" t="str">
        <f>조별합계표!B10</f>
        <v>반재수</v>
      </c>
      <c r="N17" s="73">
        <f t="shared" si="7"/>
        <v>409</v>
      </c>
      <c r="O17" s="74">
        <f>조별합계표!F10</f>
        <v>191</v>
      </c>
      <c r="P17" s="78">
        <f t="shared" si="8"/>
        <v>0.4669926650366748</v>
      </c>
      <c r="Q17" s="79" t="str">
        <f t="shared" si="9"/>
        <v>-</v>
      </c>
    </row>
    <row r="18" spans="1:17" ht="47.25" customHeight="1">
      <c r="A18" s="71">
        <v>8</v>
      </c>
      <c r="B18" s="72" t="str">
        <f t="shared" si="0"/>
        <v>이현준</v>
      </c>
      <c r="C18" s="73">
        <f t="shared" si="1"/>
        <v>409</v>
      </c>
      <c r="D18" s="74">
        <f t="shared" si="2"/>
        <v>38</v>
      </c>
      <c r="E18" s="75">
        <f t="shared" si="3"/>
        <v>9.2909535452322736E-2</v>
      </c>
      <c r="F18" s="31">
        <f t="shared" si="4"/>
        <v>8</v>
      </c>
      <c r="G18" s="76" t="str">
        <f t="shared" si="5"/>
        <v>-</v>
      </c>
      <c r="L18" s="81">
        <f t="shared" si="6"/>
        <v>21</v>
      </c>
      <c r="M18" s="72" t="str">
        <f>조별합계표!B11</f>
        <v>장태익</v>
      </c>
      <c r="N18" s="73">
        <f t="shared" si="7"/>
        <v>409</v>
      </c>
      <c r="O18" s="74">
        <f>조별합계표!F11</f>
        <v>4</v>
      </c>
      <c r="P18" s="78">
        <f t="shared" si="8"/>
        <v>9.7799511002444987E-3</v>
      </c>
      <c r="Q18" s="79" t="str">
        <f t="shared" si="9"/>
        <v>-</v>
      </c>
    </row>
    <row r="19" spans="1:17" ht="47.25" customHeight="1">
      <c r="A19" s="71">
        <v>9</v>
      </c>
      <c r="B19" s="72" t="str">
        <f t="shared" si="0"/>
        <v>백운재</v>
      </c>
      <c r="C19" s="73">
        <f t="shared" si="1"/>
        <v>409</v>
      </c>
      <c r="D19" s="74">
        <f t="shared" si="2"/>
        <v>37</v>
      </c>
      <c r="E19" s="75">
        <f t="shared" si="3"/>
        <v>9.0464547677261614E-2</v>
      </c>
      <c r="F19" s="31">
        <f t="shared" si="4"/>
        <v>9</v>
      </c>
      <c r="G19" s="76" t="str">
        <f t="shared" si="5"/>
        <v>-</v>
      </c>
      <c r="L19" s="81">
        <f t="shared" si="6"/>
        <v>1</v>
      </c>
      <c r="M19" s="72" t="str">
        <f>조별합계표!B12</f>
        <v>정용석</v>
      </c>
      <c r="N19" s="73">
        <f t="shared" si="7"/>
        <v>409</v>
      </c>
      <c r="O19" s="74">
        <f>조별합계표!F12</f>
        <v>198</v>
      </c>
      <c r="P19" s="78">
        <f t="shared" si="8"/>
        <v>0.4841075794621027</v>
      </c>
      <c r="Q19" s="79" t="str">
        <f t="shared" si="9"/>
        <v>-</v>
      </c>
    </row>
    <row r="20" spans="1:17" ht="47.25" customHeight="1">
      <c r="A20" s="71">
        <v>10</v>
      </c>
      <c r="B20" s="72" t="str">
        <f t="shared" si="0"/>
        <v>이종수</v>
      </c>
      <c r="C20" s="73">
        <f t="shared" si="1"/>
        <v>409</v>
      </c>
      <c r="D20" s="74">
        <f t="shared" si="2"/>
        <v>26</v>
      </c>
      <c r="E20" s="75">
        <f t="shared" si="3"/>
        <v>6.3569682151589244E-2</v>
      </c>
      <c r="F20" s="31">
        <f t="shared" si="4"/>
        <v>10</v>
      </c>
      <c r="G20" s="76" t="str">
        <f t="shared" si="5"/>
        <v>-</v>
      </c>
      <c r="L20" s="81">
        <f t="shared" si="6"/>
        <v>25</v>
      </c>
      <c r="M20" s="72" t="str">
        <f>조별합계표!B13</f>
        <v>유양준</v>
      </c>
      <c r="N20" s="73">
        <f t="shared" si="7"/>
        <v>409</v>
      </c>
      <c r="O20" s="74">
        <f>조별합계표!F13</f>
        <v>3</v>
      </c>
      <c r="P20" s="78">
        <f t="shared" si="8"/>
        <v>7.3349633251833741E-3</v>
      </c>
      <c r="Q20" s="79" t="str">
        <f t="shared" si="9"/>
        <v>-</v>
      </c>
    </row>
    <row r="21" spans="1:17" ht="47.25" customHeight="1">
      <c r="A21" s="71">
        <v>11</v>
      </c>
      <c r="B21" s="72" t="e">
        <f t="shared" si="0"/>
        <v>#N/A</v>
      </c>
      <c r="C21" s="73" t="e">
        <f t="shared" si="1"/>
        <v>#N/A</v>
      </c>
      <c r="D21" s="74" t="e">
        <f t="shared" si="2"/>
        <v>#N/A</v>
      </c>
      <c r="E21" s="75" t="e">
        <f t="shared" si="3"/>
        <v>#N/A</v>
      </c>
      <c r="F21" s="31" t="e">
        <f t="shared" si="4"/>
        <v>#N/A</v>
      </c>
      <c r="G21" s="76" t="e">
        <f t="shared" si="5"/>
        <v>#N/A</v>
      </c>
      <c r="H21" t="s">
        <v>114</v>
      </c>
      <c r="L21" s="81">
        <f t="shared" si="6"/>
        <v>34</v>
      </c>
      <c r="M21" s="72" t="str">
        <f>조별합계표!B14</f>
        <v>황영수</v>
      </c>
      <c r="N21" s="73">
        <f t="shared" si="7"/>
        <v>409</v>
      </c>
      <c r="O21" s="74">
        <f>조별합계표!F14</f>
        <v>1</v>
      </c>
      <c r="P21" s="78">
        <f t="shared" si="8"/>
        <v>2.4449877750611247E-3</v>
      </c>
      <c r="Q21" s="79" t="str">
        <f t="shared" si="9"/>
        <v>-</v>
      </c>
    </row>
    <row r="22" spans="1:17" ht="47.25" customHeight="1">
      <c r="A22" s="71">
        <v>12</v>
      </c>
      <c r="B22" s="72" t="str">
        <f t="shared" si="0"/>
        <v>문동학</v>
      </c>
      <c r="C22" s="73">
        <f t="shared" si="1"/>
        <v>409</v>
      </c>
      <c r="D22" s="74">
        <f t="shared" si="2"/>
        <v>21</v>
      </c>
      <c r="E22" s="75">
        <f t="shared" si="3"/>
        <v>5.1344743276283619E-2</v>
      </c>
      <c r="F22" s="31">
        <f t="shared" si="4"/>
        <v>12</v>
      </c>
      <c r="G22" s="76" t="str">
        <f t="shared" si="5"/>
        <v>-</v>
      </c>
      <c r="L22" s="81">
        <f t="shared" si="6"/>
        <v>6</v>
      </c>
      <c r="M22" s="72" t="str">
        <f>조별합계표!B15</f>
        <v>원종철</v>
      </c>
      <c r="N22" s="73">
        <f t="shared" si="7"/>
        <v>409</v>
      </c>
      <c r="O22" s="74">
        <f>조별합계표!F15</f>
        <v>79</v>
      </c>
      <c r="P22" s="78">
        <f t="shared" si="8"/>
        <v>0.19315403422982885</v>
      </c>
      <c r="Q22" s="79" t="str">
        <f t="shared" si="9"/>
        <v>-</v>
      </c>
    </row>
    <row r="23" spans="1:17" ht="47.25" customHeight="1">
      <c r="A23" s="71">
        <v>13</v>
      </c>
      <c r="B23" s="72" t="str">
        <f t="shared" si="0"/>
        <v>이규현</v>
      </c>
      <c r="C23" s="73">
        <f t="shared" si="1"/>
        <v>409</v>
      </c>
      <c r="D23" s="74">
        <f t="shared" si="2"/>
        <v>20</v>
      </c>
      <c r="E23" s="75">
        <f t="shared" si="3"/>
        <v>4.8899755501222497E-2</v>
      </c>
      <c r="F23" s="31">
        <f t="shared" si="4"/>
        <v>13</v>
      </c>
      <c r="G23" s="76" t="str">
        <f t="shared" si="5"/>
        <v>-</v>
      </c>
      <c r="L23" s="81">
        <f t="shared" si="6"/>
        <v>25</v>
      </c>
      <c r="M23" s="72" t="str">
        <f>조별합계표!B16</f>
        <v>진인식</v>
      </c>
      <c r="N23" s="73">
        <f t="shared" si="7"/>
        <v>409</v>
      </c>
      <c r="O23" s="74">
        <f>조별합계표!F16</f>
        <v>3</v>
      </c>
      <c r="P23" s="78">
        <f t="shared" si="8"/>
        <v>7.3349633251833741E-3</v>
      </c>
      <c r="Q23" s="79" t="str">
        <f t="shared" si="9"/>
        <v>-</v>
      </c>
    </row>
    <row r="24" spans="1:17" ht="47.25" customHeight="1">
      <c r="A24" s="71">
        <v>14</v>
      </c>
      <c r="B24" s="72" t="str">
        <f t="shared" si="0"/>
        <v>김관형</v>
      </c>
      <c r="C24" s="73">
        <f t="shared" si="1"/>
        <v>409</v>
      </c>
      <c r="D24" s="74">
        <f t="shared" si="2"/>
        <v>19</v>
      </c>
      <c r="E24" s="75">
        <f t="shared" si="3"/>
        <v>4.6454767726161368E-2</v>
      </c>
      <c r="F24" s="31">
        <f t="shared" si="4"/>
        <v>14</v>
      </c>
      <c r="G24" s="76" t="str">
        <f t="shared" si="5"/>
        <v>-</v>
      </c>
      <c r="L24" s="81">
        <f t="shared" si="6"/>
        <v>5</v>
      </c>
      <c r="M24" s="72" t="str">
        <f>조별합계표!B17</f>
        <v>김희정</v>
      </c>
      <c r="N24" s="73">
        <f t="shared" si="7"/>
        <v>409</v>
      </c>
      <c r="O24" s="74">
        <f>조별합계표!F17</f>
        <v>83</v>
      </c>
      <c r="P24" s="78">
        <f t="shared" si="8"/>
        <v>0.20293398533007334</v>
      </c>
      <c r="Q24" s="79" t="str">
        <f t="shared" si="9"/>
        <v>-</v>
      </c>
    </row>
    <row r="25" spans="1:17" ht="47.25" customHeight="1">
      <c r="A25" s="71">
        <v>15</v>
      </c>
      <c r="B25" s="72" t="str">
        <f t="shared" si="0"/>
        <v>안방선</v>
      </c>
      <c r="C25" s="73">
        <f t="shared" si="1"/>
        <v>409</v>
      </c>
      <c r="D25" s="74">
        <f t="shared" si="2"/>
        <v>15</v>
      </c>
      <c r="E25" s="75">
        <f t="shared" si="3"/>
        <v>3.6674816625916873E-2</v>
      </c>
      <c r="F25" s="31">
        <f t="shared" si="4"/>
        <v>15</v>
      </c>
      <c r="G25" s="76" t="str">
        <f t="shared" si="5"/>
        <v>-</v>
      </c>
      <c r="L25" s="81">
        <f t="shared" si="6"/>
        <v>14</v>
      </c>
      <c r="M25" s="72" t="str">
        <f>조별합계표!B18</f>
        <v>김관형</v>
      </c>
      <c r="N25" s="73">
        <f t="shared" si="7"/>
        <v>409</v>
      </c>
      <c r="O25" s="74">
        <f>조별합계표!F18</f>
        <v>19</v>
      </c>
      <c r="P25" s="78">
        <f t="shared" si="8"/>
        <v>4.6454767726161368E-2</v>
      </c>
      <c r="Q25" s="79" t="str">
        <f t="shared" si="9"/>
        <v>-</v>
      </c>
    </row>
    <row r="26" spans="1:17" ht="47.25" customHeight="1">
      <c r="A26" s="71">
        <v>16</v>
      </c>
      <c r="B26" s="72" t="str">
        <f t="shared" si="0"/>
        <v>김태성</v>
      </c>
      <c r="C26" s="73">
        <f t="shared" si="1"/>
        <v>409</v>
      </c>
      <c r="D26" s="74">
        <f t="shared" si="2"/>
        <v>14</v>
      </c>
      <c r="E26" s="75">
        <f t="shared" si="3"/>
        <v>3.4229828850855744E-2</v>
      </c>
      <c r="F26" s="31">
        <f t="shared" si="4"/>
        <v>16</v>
      </c>
      <c r="G26" s="76" t="str">
        <f t="shared" si="5"/>
        <v>-</v>
      </c>
      <c r="L26" s="81">
        <f t="shared" si="6"/>
        <v>17</v>
      </c>
      <c r="M26" s="72" t="str">
        <f>조별합계표!B19</f>
        <v>김남영</v>
      </c>
      <c r="N26" s="73">
        <f t="shared" si="7"/>
        <v>409</v>
      </c>
      <c r="O26" s="74">
        <f>조별합계표!F19</f>
        <v>10</v>
      </c>
      <c r="P26" s="78">
        <f t="shared" si="8"/>
        <v>2.4449877750611249E-2</v>
      </c>
      <c r="Q26" s="79" t="str">
        <f t="shared" si="9"/>
        <v>-</v>
      </c>
    </row>
    <row r="27" spans="1:17" ht="47.25" customHeight="1">
      <c r="A27" s="71">
        <v>17</v>
      </c>
      <c r="B27" s="72" t="str">
        <f t="shared" si="0"/>
        <v>김남영</v>
      </c>
      <c r="C27" s="73">
        <f t="shared" si="1"/>
        <v>409</v>
      </c>
      <c r="D27" s="74">
        <f t="shared" si="2"/>
        <v>10</v>
      </c>
      <c r="E27" s="75">
        <f t="shared" si="3"/>
        <v>2.4449877750611249E-2</v>
      </c>
      <c r="F27" s="31">
        <f t="shared" si="4"/>
        <v>17</v>
      </c>
      <c r="G27" s="76" t="str">
        <f t="shared" si="5"/>
        <v>-</v>
      </c>
      <c r="L27" s="81">
        <f t="shared" si="6"/>
        <v>4</v>
      </c>
      <c r="M27" s="72" t="str">
        <f>조별합계표!B20</f>
        <v>조규현</v>
      </c>
      <c r="N27" s="73">
        <f t="shared" si="7"/>
        <v>409</v>
      </c>
      <c r="O27" s="74">
        <f>조별합계표!F20</f>
        <v>95</v>
      </c>
      <c r="P27" s="78">
        <f t="shared" si="8"/>
        <v>0.23227383863080683</v>
      </c>
      <c r="Q27" s="79" t="str">
        <f t="shared" si="9"/>
        <v>-</v>
      </c>
    </row>
    <row r="28" spans="1:17" ht="47.25" customHeight="1">
      <c r="A28" s="71">
        <v>18</v>
      </c>
      <c r="B28" s="72" t="e">
        <f t="shared" si="0"/>
        <v>#N/A</v>
      </c>
      <c r="C28" s="73" t="e">
        <f t="shared" si="1"/>
        <v>#N/A</v>
      </c>
      <c r="D28" s="74" t="e">
        <f t="shared" si="2"/>
        <v>#N/A</v>
      </c>
      <c r="E28" s="75" t="e">
        <f t="shared" si="3"/>
        <v>#N/A</v>
      </c>
      <c r="F28" s="31" t="e">
        <f t="shared" si="4"/>
        <v>#N/A</v>
      </c>
      <c r="G28" s="76" t="e">
        <f t="shared" si="5"/>
        <v>#N/A</v>
      </c>
      <c r="H28" t="s">
        <v>120</v>
      </c>
      <c r="L28" s="81">
        <f t="shared" si="6"/>
        <v>30</v>
      </c>
      <c r="M28" s="72" t="str">
        <f>조별합계표!B21</f>
        <v>최영철</v>
      </c>
      <c r="N28" s="73">
        <f t="shared" si="7"/>
        <v>409</v>
      </c>
      <c r="O28" s="74">
        <f>조별합계표!F21</f>
        <v>2</v>
      </c>
      <c r="P28" s="78">
        <f t="shared" si="8"/>
        <v>4.8899755501222494E-3</v>
      </c>
      <c r="Q28" s="79" t="str">
        <f t="shared" si="9"/>
        <v>-</v>
      </c>
    </row>
    <row r="29" spans="1:17" ht="47.25" customHeight="1">
      <c r="A29" s="71">
        <v>19</v>
      </c>
      <c r="B29" s="72" t="str">
        <f t="shared" si="0"/>
        <v>이강우</v>
      </c>
      <c r="C29" s="73">
        <f t="shared" si="1"/>
        <v>409</v>
      </c>
      <c r="D29" s="74">
        <f t="shared" si="2"/>
        <v>8</v>
      </c>
      <c r="E29" s="75">
        <f t="shared" si="3"/>
        <v>1.9559902200488997E-2</v>
      </c>
      <c r="F29" s="31">
        <f t="shared" si="4"/>
        <v>19</v>
      </c>
      <c r="G29" s="76" t="str">
        <f t="shared" si="5"/>
        <v>-</v>
      </c>
      <c r="L29" s="81">
        <f t="shared" si="6"/>
        <v>39</v>
      </c>
      <c r="M29" s="72" t="str">
        <f>조별합계표!B22</f>
        <v>최인석</v>
      </c>
      <c r="N29" s="73">
        <f t="shared" si="7"/>
        <v>409</v>
      </c>
      <c r="O29" s="74">
        <f>조별합계표!F22</f>
        <v>0</v>
      </c>
      <c r="P29" s="78">
        <f t="shared" si="8"/>
        <v>0</v>
      </c>
      <c r="Q29" s="79" t="str">
        <f t="shared" si="9"/>
        <v>-</v>
      </c>
    </row>
    <row r="30" spans="1:17" ht="47.25" customHeight="1">
      <c r="A30" s="71">
        <v>20</v>
      </c>
      <c r="B30" s="72" t="str">
        <f t="shared" si="0"/>
        <v>심효섭</v>
      </c>
      <c r="C30" s="73">
        <f t="shared" si="1"/>
        <v>409</v>
      </c>
      <c r="D30" s="74">
        <f t="shared" si="2"/>
        <v>5</v>
      </c>
      <c r="E30" s="75">
        <f t="shared" si="3"/>
        <v>1.2224938875305624E-2</v>
      </c>
      <c r="F30" s="31">
        <f t="shared" si="4"/>
        <v>20</v>
      </c>
      <c r="G30" s="76" t="str">
        <f t="shared" si="5"/>
        <v>-</v>
      </c>
      <c r="L30" s="81">
        <f t="shared" si="6"/>
        <v>9</v>
      </c>
      <c r="M30" s="72" t="str">
        <f>조별합계표!B23</f>
        <v>백운재</v>
      </c>
      <c r="N30" s="73">
        <f t="shared" si="7"/>
        <v>409</v>
      </c>
      <c r="O30" s="74">
        <f>조별합계표!F23</f>
        <v>37</v>
      </c>
      <c r="P30" s="78">
        <f t="shared" si="8"/>
        <v>9.0464547677261614E-2</v>
      </c>
      <c r="Q30" s="79" t="str">
        <f t="shared" si="9"/>
        <v>-</v>
      </c>
    </row>
    <row r="31" spans="1:17" ht="47.25" customHeight="1">
      <c r="A31" s="71">
        <v>21</v>
      </c>
      <c r="B31" s="72" t="str">
        <f t="shared" si="0"/>
        <v>이주이</v>
      </c>
      <c r="C31" s="73">
        <f t="shared" si="1"/>
        <v>409</v>
      </c>
      <c r="D31" s="74">
        <f t="shared" si="2"/>
        <v>4</v>
      </c>
      <c r="E31" s="75">
        <f t="shared" si="3"/>
        <v>9.7799511002444987E-3</v>
      </c>
      <c r="F31" s="31">
        <f t="shared" si="4"/>
        <v>21</v>
      </c>
      <c r="G31" s="76" t="str">
        <f t="shared" si="5"/>
        <v>-</v>
      </c>
      <c r="L31" s="81">
        <f t="shared" si="6"/>
        <v>39</v>
      </c>
      <c r="M31" s="72" t="str">
        <f>조별합계표!B24</f>
        <v>최광호</v>
      </c>
      <c r="N31" s="73">
        <f t="shared" si="7"/>
        <v>409</v>
      </c>
      <c r="O31" s="74">
        <f>조별합계표!F24</f>
        <v>0</v>
      </c>
      <c r="P31" s="78">
        <f t="shared" si="8"/>
        <v>0</v>
      </c>
      <c r="Q31" s="79" t="str">
        <f t="shared" si="9"/>
        <v>-</v>
      </c>
    </row>
    <row r="32" spans="1:17" ht="47.25" customHeight="1">
      <c r="A32" s="71">
        <v>22</v>
      </c>
      <c r="B32" s="72" t="e">
        <f t="shared" si="0"/>
        <v>#N/A</v>
      </c>
      <c r="C32" s="73" t="e">
        <f t="shared" si="1"/>
        <v>#N/A</v>
      </c>
      <c r="D32" s="74" t="e">
        <f t="shared" si="2"/>
        <v>#N/A</v>
      </c>
      <c r="E32" s="75" t="e">
        <f t="shared" si="3"/>
        <v>#N/A</v>
      </c>
      <c r="F32" s="31" t="e">
        <f t="shared" si="4"/>
        <v>#N/A</v>
      </c>
      <c r="G32" s="76" t="e">
        <f t="shared" si="5"/>
        <v>#N/A</v>
      </c>
      <c r="L32" s="81">
        <f t="shared" si="6"/>
        <v>34</v>
      </c>
      <c r="M32" s="72" t="str">
        <f>조별합계표!B25</f>
        <v>윤진</v>
      </c>
      <c r="N32" s="73">
        <f t="shared" si="7"/>
        <v>409</v>
      </c>
      <c r="O32" s="74">
        <f>조별합계표!F25</f>
        <v>1</v>
      </c>
      <c r="P32" s="78">
        <f t="shared" si="8"/>
        <v>2.4449877750611247E-3</v>
      </c>
      <c r="Q32" s="79" t="str">
        <f t="shared" si="9"/>
        <v>-</v>
      </c>
    </row>
    <row r="33" spans="1:17" ht="47.25" customHeight="1">
      <c r="A33" s="71">
        <v>23</v>
      </c>
      <c r="B33" s="72" t="e">
        <f t="shared" si="0"/>
        <v>#N/A</v>
      </c>
      <c r="C33" s="73" t="e">
        <f t="shared" si="1"/>
        <v>#N/A</v>
      </c>
      <c r="D33" s="74" t="e">
        <f t="shared" si="2"/>
        <v>#N/A</v>
      </c>
      <c r="E33" s="75" t="e">
        <f t="shared" si="3"/>
        <v>#N/A</v>
      </c>
      <c r="F33" s="31" t="e">
        <f t="shared" si="4"/>
        <v>#N/A</v>
      </c>
      <c r="G33" s="76" t="e">
        <f t="shared" si="5"/>
        <v>#N/A</v>
      </c>
      <c r="L33" s="81">
        <f t="shared" si="6"/>
        <v>7</v>
      </c>
      <c r="M33" s="72" t="str">
        <f>조별합계표!B26</f>
        <v>이준호</v>
      </c>
      <c r="N33" s="73">
        <f t="shared" si="7"/>
        <v>409</v>
      </c>
      <c r="O33" s="74">
        <f>조별합계표!F26</f>
        <v>73</v>
      </c>
      <c r="P33" s="78">
        <f t="shared" si="8"/>
        <v>0.17848410757946209</v>
      </c>
      <c r="Q33" s="79" t="str">
        <f t="shared" si="9"/>
        <v>-</v>
      </c>
    </row>
    <row r="34" spans="1:17" ht="47.25" customHeight="1">
      <c r="A34" s="71">
        <v>24</v>
      </c>
      <c r="B34" s="72" t="e">
        <f t="shared" si="0"/>
        <v>#N/A</v>
      </c>
      <c r="C34" s="73" t="e">
        <f t="shared" si="1"/>
        <v>#N/A</v>
      </c>
      <c r="D34" s="74" t="e">
        <f t="shared" si="2"/>
        <v>#N/A</v>
      </c>
      <c r="E34" s="75" t="e">
        <f t="shared" si="3"/>
        <v>#N/A</v>
      </c>
      <c r="F34" s="31" t="e">
        <f t="shared" si="4"/>
        <v>#N/A</v>
      </c>
      <c r="G34" s="76" t="e">
        <f t="shared" si="5"/>
        <v>#N/A</v>
      </c>
      <c r="L34" s="81">
        <f t="shared" si="6"/>
        <v>16</v>
      </c>
      <c r="M34" s="72" t="str">
        <f>조별합계표!B27</f>
        <v>김태성</v>
      </c>
      <c r="N34" s="73">
        <f t="shared" si="7"/>
        <v>409</v>
      </c>
      <c r="O34" s="74">
        <f>조별합계표!F27</f>
        <v>14</v>
      </c>
      <c r="P34" s="78">
        <f t="shared" si="8"/>
        <v>3.4229828850855744E-2</v>
      </c>
      <c r="Q34" s="79" t="str">
        <f t="shared" si="9"/>
        <v>-</v>
      </c>
    </row>
    <row r="35" spans="1:17" ht="47.25" customHeight="1">
      <c r="A35" s="71">
        <v>25</v>
      </c>
      <c r="B35" s="72" t="str">
        <f t="shared" si="0"/>
        <v>유양준</v>
      </c>
      <c r="C35" s="73">
        <f t="shared" si="1"/>
        <v>409</v>
      </c>
      <c r="D35" s="74">
        <f t="shared" si="2"/>
        <v>3</v>
      </c>
      <c r="E35" s="75">
        <f t="shared" si="3"/>
        <v>7.3349633251833741E-3</v>
      </c>
      <c r="F35" s="31">
        <f t="shared" si="4"/>
        <v>25</v>
      </c>
      <c r="G35" s="76" t="str">
        <f t="shared" si="5"/>
        <v>-</v>
      </c>
      <c r="L35" s="81">
        <f t="shared" si="6"/>
        <v>13</v>
      </c>
      <c r="M35" s="72" t="str">
        <f>조별합계표!B28</f>
        <v>이규현</v>
      </c>
      <c r="N35" s="73">
        <f t="shared" si="7"/>
        <v>409</v>
      </c>
      <c r="O35" s="74">
        <f>조별합계표!F28</f>
        <v>20</v>
      </c>
      <c r="P35" s="78">
        <f t="shared" si="8"/>
        <v>4.8899755501222497E-2</v>
      </c>
      <c r="Q35" s="79" t="str">
        <f t="shared" si="9"/>
        <v>-</v>
      </c>
    </row>
    <row r="36" spans="1:17" ht="47.25" customHeight="1">
      <c r="A36" s="71">
        <v>26</v>
      </c>
      <c r="B36" s="72" t="e">
        <f t="shared" si="0"/>
        <v>#N/A</v>
      </c>
      <c r="C36" s="73" t="e">
        <f t="shared" si="1"/>
        <v>#N/A</v>
      </c>
      <c r="D36" s="74" t="e">
        <f t="shared" si="2"/>
        <v>#N/A</v>
      </c>
      <c r="E36" s="75" t="e">
        <f t="shared" si="3"/>
        <v>#N/A</v>
      </c>
      <c r="F36" s="31" t="e">
        <f t="shared" si="4"/>
        <v>#N/A</v>
      </c>
      <c r="G36" s="76" t="e">
        <f t="shared" si="5"/>
        <v>#N/A</v>
      </c>
      <c r="L36" s="81">
        <f t="shared" si="6"/>
        <v>8</v>
      </c>
      <c r="M36" s="72" t="str">
        <f>조별합계표!B29</f>
        <v>이현준</v>
      </c>
      <c r="N36" s="73">
        <f t="shared" si="7"/>
        <v>409</v>
      </c>
      <c r="O36" s="74">
        <f>조별합계표!F29</f>
        <v>38</v>
      </c>
      <c r="P36" s="78">
        <f t="shared" si="8"/>
        <v>9.2909535452322736E-2</v>
      </c>
      <c r="Q36" s="79" t="str">
        <f t="shared" si="9"/>
        <v>-</v>
      </c>
    </row>
    <row r="37" spans="1:17" ht="47.25" customHeight="1">
      <c r="A37" s="71">
        <v>27</v>
      </c>
      <c r="B37" s="72" t="e">
        <f t="shared" si="0"/>
        <v>#N/A</v>
      </c>
      <c r="C37" s="73" t="e">
        <f t="shared" si="1"/>
        <v>#N/A</v>
      </c>
      <c r="D37" s="74" t="e">
        <f t="shared" si="2"/>
        <v>#N/A</v>
      </c>
      <c r="E37" s="75" t="e">
        <f t="shared" si="3"/>
        <v>#N/A</v>
      </c>
      <c r="F37" s="31" t="e">
        <f t="shared" si="4"/>
        <v>#N/A</v>
      </c>
      <c r="G37" s="76" t="e">
        <f t="shared" si="5"/>
        <v>#N/A</v>
      </c>
      <c r="L37" s="81">
        <f t="shared" si="6"/>
        <v>39</v>
      </c>
      <c r="M37" s="72" t="str">
        <f>조별합계표!B30</f>
        <v>김홍균</v>
      </c>
      <c r="N37" s="73">
        <f t="shared" si="7"/>
        <v>409</v>
      </c>
      <c r="O37" s="74">
        <f>조별합계표!F30</f>
        <v>0</v>
      </c>
      <c r="P37" s="78">
        <f t="shared" si="8"/>
        <v>0</v>
      </c>
      <c r="Q37" s="79" t="str">
        <f t="shared" si="9"/>
        <v>-</v>
      </c>
    </row>
    <row r="38" spans="1:17" ht="47.25" customHeight="1">
      <c r="A38" s="71">
        <v>28</v>
      </c>
      <c r="B38" s="72" t="e">
        <f t="shared" si="0"/>
        <v>#N/A</v>
      </c>
      <c r="C38" s="73" t="e">
        <f t="shared" si="1"/>
        <v>#N/A</v>
      </c>
      <c r="D38" s="74" t="e">
        <f t="shared" si="2"/>
        <v>#N/A</v>
      </c>
      <c r="E38" s="75" t="e">
        <f t="shared" si="3"/>
        <v>#N/A</v>
      </c>
      <c r="F38" s="31" t="e">
        <f t="shared" si="4"/>
        <v>#N/A</v>
      </c>
      <c r="G38" s="76" t="e">
        <f t="shared" si="5"/>
        <v>#N/A</v>
      </c>
      <c r="L38" s="81">
        <f t="shared" si="6"/>
        <v>39</v>
      </c>
      <c r="M38" s="72" t="str">
        <f>조별합계표!B31</f>
        <v>강지원</v>
      </c>
      <c r="N38" s="73">
        <f t="shared" si="7"/>
        <v>409</v>
      </c>
      <c r="O38" s="74">
        <f>조별합계표!F31</f>
        <v>0</v>
      </c>
      <c r="P38" s="78">
        <f t="shared" si="8"/>
        <v>0</v>
      </c>
      <c r="Q38" s="79" t="str">
        <f t="shared" si="9"/>
        <v>-</v>
      </c>
    </row>
    <row r="39" spans="1:17" ht="47.25" customHeight="1">
      <c r="A39" s="71">
        <v>29</v>
      </c>
      <c r="B39" s="72" t="e">
        <f t="shared" si="0"/>
        <v>#N/A</v>
      </c>
      <c r="C39" s="73" t="e">
        <f t="shared" si="1"/>
        <v>#N/A</v>
      </c>
      <c r="D39" s="74" t="e">
        <f t="shared" si="2"/>
        <v>#N/A</v>
      </c>
      <c r="E39" s="75" t="e">
        <f t="shared" si="3"/>
        <v>#N/A</v>
      </c>
      <c r="F39" s="31" t="e">
        <f t="shared" si="4"/>
        <v>#N/A</v>
      </c>
      <c r="G39" s="76" t="e">
        <f t="shared" si="5"/>
        <v>#N/A</v>
      </c>
      <c r="L39" s="81">
        <f t="shared" si="6"/>
        <v>21</v>
      </c>
      <c r="M39" s="72" t="str">
        <f>조별합계표!B32</f>
        <v>손성길</v>
      </c>
      <c r="N39" s="73">
        <f t="shared" si="7"/>
        <v>409</v>
      </c>
      <c r="O39" s="74">
        <f>조별합계표!F32</f>
        <v>4</v>
      </c>
      <c r="P39" s="78">
        <f t="shared" si="8"/>
        <v>9.7799511002444987E-3</v>
      </c>
      <c r="Q39" s="79" t="str">
        <f t="shared" si="9"/>
        <v>-</v>
      </c>
    </row>
    <row r="40" spans="1:17" ht="47.25" customHeight="1">
      <c r="A40" s="71">
        <v>30</v>
      </c>
      <c r="B40" s="72" t="str">
        <f t="shared" si="0"/>
        <v>최영철</v>
      </c>
      <c r="C40" s="73">
        <f t="shared" si="1"/>
        <v>409</v>
      </c>
      <c r="D40" s="74">
        <f t="shared" si="2"/>
        <v>2</v>
      </c>
      <c r="E40" s="75">
        <f t="shared" si="3"/>
        <v>4.8899755501222494E-3</v>
      </c>
      <c r="F40" s="31">
        <f t="shared" si="4"/>
        <v>30</v>
      </c>
      <c r="G40" s="76" t="str">
        <f t="shared" si="5"/>
        <v>-</v>
      </c>
      <c r="L40" s="81">
        <f t="shared" si="6"/>
        <v>39</v>
      </c>
      <c r="M40" s="72" t="str">
        <f>조별합계표!B33</f>
        <v>김홍철</v>
      </c>
      <c r="N40" s="77">
        <f t="shared" si="7"/>
        <v>409</v>
      </c>
      <c r="O40" s="74">
        <f>조별합계표!F33</f>
        <v>0</v>
      </c>
      <c r="P40" s="78">
        <f t="shared" si="8"/>
        <v>0</v>
      </c>
      <c r="Q40" s="79" t="str">
        <f t="shared" si="9"/>
        <v>-</v>
      </c>
    </row>
    <row r="41" spans="1:17" ht="47.25" customHeight="1">
      <c r="A41" s="71">
        <v>31</v>
      </c>
      <c r="B41" s="72" t="e">
        <f t="shared" si="0"/>
        <v>#N/A</v>
      </c>
      <c r="C41" s="73" t="e">
        <f t="shared" si="1"/>
        <v>#N/A</v>
      </c>
      <c r="D41" s="74" t="e">
        <f t="shared" si="2"/>
        <v>#N/A</v>
      </c>
      <c r="E41" s="75" t="e">
        <f t="shared" si="3"/>
        <v>#N/A</v>
      </c>
      <c r="F41" s="31" t="e">
        <f t="shared" si="4"/>
        <v>#N/A</v>
      </c>
      <c r="G41" s="76" t="e">
        <f t="shared" si="5"/>
        <v>#N/A</v>
      </c>
      <c r="L41" s="81">
        <f t="shared" si="6"/>
        <v>3</v>
      </c>
      <c r="M41" s="72" t="str">
        <f>조별합계표!B34</f>
        <v>권오성</v>
      </c>
      <c r="N41" s="77">
        <f t="shared" si="7"/>
        <v>409</v>
      </c>
      <c r="O41" s="74">
        <f>조별합계표!F34</f>
        <v>187</v>
      </c>
      <c r="P41" s="78">
        <f t="shared" si="8"/>
        <v>0.45721271393643031</v>
      </c>
      <c r="Q41" s="79" t="str">
        <f t="shared" si="9"/>
        <v>-</v>
      </c>
    </row>
    <row r="42" spans="1:17" ht="47.25" customHeight="1">
      <c r="A42" s="71">
        <v>32</v>
      </c>
      <c r="B42" s="72" t="e">
        <f t="shared" si="0"/>
        <v>#N/A</v>
      </c>
      <c r="C42" s="73" t="e">
        <f t="shared" si="1"/>
        <v>#N/A</v>
      </c>
      <c r="D42" s="74" t="e">
        <f t="shared" si="2"/>
        <v>#N/A</v>
      </c>
      <c r="E42" s="75" t="e">
        <f t="shared" si="3"/>
        <v>#N/A</v>
      </c>
      <c r="F42" s="31" t="e">
        <f t="shared" si="4"/>
        <v>#N/A</v>
      </c>
      <c r="G42" s="76" t="e">
        <f t="shared" si="5"/>
        <v>#N/A</v>
      </c>
      <c r="L42" s="81">
        <f t="shared" si="6"/>
        <v>25</v>
      </c>
      <c r="M42" s="72" t="str">
        <f>조별합계표!B35</f>
        <v>남홍주</v>
      </c>
      <c r="N42" s="77">
        <f t="shared" si="7"/>
        <v>409</v>
      </c>
      <c r="O42" s="74">
        <f>조별합계표!F35</f>
        <v>3</v>
      </c>
      <c r="P42" s="78">
        <f t="shared" si="8"/>
        <v>7.3349633251833741E-3</v>
      </c>
      <c r="Q42" s="79" t="str">
        <f t="shared" si="9"/>
        <v>-</v>
      </c>
    </row>
    <row r="43" spans="1:17" ht="47.25" customHeight="1">
      <c r="A43" s="71">
        <v>33</v>
      </c>
      <c r="B43" s="72" t="e">
        <f t="shared" ref="B43:B60" si="10">VLOOKUP(ROW(A33), L$11:Q$60, 2, FALSE)</f>
        <v>#N/A</v>
      </c>
      <c r="C43" s="73" t="e">
        <f t="shared" ref="C43:C60" si="11">VLOOKUP(ROW(A33), L$11:Q$60, 3, FALSE)</f>
        <v>#N/A</v>
      </c>
      <c r="D43" s="74" t="e">
        <f t="shared" ref="D43:D60" si="12">VLOOKUP(ROW(A33), L$11:Q$60, 4, FALSE)</f>
        <v>#N/A</v>
      </c>
      <c r="E43" s="75" t="e">
        <f t="shared" ref="E43:E60" si="13">VLOOKUP(ROW(A33), L$11:Q$60, 5, FALSE)</f>
        <v>#N/A</v>
      </c>
      <c r="F43" s="31" t="e">
        <f t="shared" ref="F43:F60" si="14">VLOOKUP(ROW(A33), L$11:Q$60, 1, FALSE)</f>
        <v>#N/A</v>
      </c>
      <c r="G43" s="76" t="e">
        <f t="shared" ref="G43:G60" si="15">IF(E43&gt;=0.666,"당선","-")</f>
        <v>#N/A</v>
      </c>
      <c r="L43" s="81">
        <f t="shared" ref="L43:L60" si="16">RANK(P43,$P$11:$P$60)</f>
        <v>10</v>
      </c>
      <c r="M43" s="72" t="str">
        <f>조별합계표!B36</f>
        <v>문용오</v>
      </c>
      <c r="N43" s="77">
        <f t="shared" ref="N43:N60" si="17">$B$4</f>
        <v>409</v>
      </c>
      <c r="O43" s="74">
        <f>조별합계표!F36</f>
        <v>26</v>
      </c>
      <c r="P43" s="78">
        <f t="shared" ref="P43:P60" si="18">O43/N43</f>
        <v>6.3569682151589244E-2</v>
      </c>
      <c r="Q43" s="79" t="str">
        <f t="shared" ref="Q43:Q60" si="19">IF(P43&gt;=0.666,"당선","-")</f>
        <v>-</v>
      </c>
    </row>
    <row r="44" spans="1:17" ht="47.25" customHeight="1">
      <c r="A44" s="71">
        <v>34</v>
      </c>
      <c r="B44" s="72" t="str">
        <f t="shared" si="10"/>
        <v>황영수</v>
      </c>
      <c r="C44" s="73">
        <f t="shared" si="11"/>
        <v>409</v>
      </c>
      <c r="D44" s="74">
        <f t="shared" si="12"/>
        <v>1</v>
      </c>
      <c r="E44" s="75">
        <f t="shared" si="13"/>
        <v>2.4449877750611247E-3</v>
      </c>
      <c r="F44" s="31">
        <f t="shared" si="14"/>
        <v>34</v>
      </c>
      <c r="G44" s="76" t="str">
        <f t="shared" si="15"/>
        <v>-</v>
      </c>
      <c r="L44" s="81">
        <f t="shared" si="16"/>
        <v>30</v>
      </c>
      <c r="M44" s="72" t="str">
        <f>조별합계표!B37</f>
        <v>이한수</v>
      </c>
      <c r="N44" s="77">
        <f t="shared" si="17"/>
        <v>409</v>
      </c>
      <c r="O44" s="74">
        <f>조별합계표!F37</f>
        <v>2</v>
      </c>
      <c r="P44" s="78">
        <f t="shared" si="18"/>
        <v>4.8899755501222494E-3</v>
      </c>
      <c r="Q44" s="79" t="str">
        <f t="shared" si="19"/>
        <v>-</v>
      </c>
    </row>
    <row r="45" spans="1:17" ht="47.25" customHeight="1">
      <c r="A45" s="71">
        <v>35</v>
      </c>
      <c r="B45" s="72" t="e">
        <f t="shared" si="10"/>
        <v>#N/A</v>
      </c>
      <c r="C45" s="73" t="e">
        <f t="shared" si="11"/>
        <v>#N/A</v>
      </c>
      <c r="D45" s="74" t="e">
        <f t="shared" si="12"/>
        <v>#N/A</v>
      </c>
      <c r="E45" s="75" t="e">
        <f t="shared" si="13"/>
        <v>#N/A</v>
      </c>
      <c r="F45" s="31" t="e">
        <f t="shared" si="14"/>
        <v>#N/A</v>
      </c>
      <c r="G45" s="76" t="e">
        <f t="shared" si="15"/>
        <v>#N/A</v>
      </c>
      <c r="L45" s="81">
        <f t="shared" si="16"/>
        <v>39</v>
      </c>
      <c r="M45" s="72" t="str">
        <f>조별합계표!B38</f>
        <v>김정운</v>
      </c>
      <c r="N45" s="77">
        <f t="shared" si="17"/>
        <v>409</v>
      </c>
      <c r="O45" s="74">
        <f>조별합계표!F38</f>
        <v>0</v>
      </c>
      <c r="P45" s="78">
        <f t="shared" si="18"/>
        <v>0</v>
      </c>
      <c r="Q45" s="79" t="str">
        <f t="shared" si="19"/>
        <v>-</v>
      </c>
    </row>
    <row r="46" spans="1:17" ht="47.25" customHeight="1">
      <c r="A46" s="71">
        <v>36</v>
      </c>
      <c r="B46" s="72" t="e">
        <f t="shared" si="10"/>
        <v>#N/A</v>
      </c>
      <c r="C46" s="73" t="e">
        <f t="shared" si="11"/>
        <v>#N/A</v>
      </c>
      <c r="D46" s="74" t="e">
        <f t="shared" si="12"/>
        <v>#N/A</v>
      </c>
      <c r="E46" s="75" t="e">
        <f t="shared" si="13"/>
        <v>#N/A</v>
      </c>
      <c r="F46" s="31" t="e">
        <f t="shared" si="14"/>
        <v>#N/A</v>
      </c>
      <c r="G46" s="76" t="e">
        <f t="shared" si="15"/>
        <v>#N/A</v>
      </c>
      <c r="L46" s="81">
        <f t="shared" si="16"/>
        <v>39</v>
      </c>
      <c r="M46" s="72" t="str">
        <f>조별합계표!B39</f>
        <v>김성옥</v>
      </c>
      <c r="N46" s="77">
        <f t="shared" si="17"/>
        <v>409</v>
      </c>
      <c r="O46" s="74">
        <f>조별합계표!F39</f>
        <v>0</v>
      </c>
      <c r="P46" s="78">
        <f t="shared" si="18"/>
        <v>0</v>
      </c>
      <c r="Q46" s="79" t="str">
        <f t="shared" si="19"/>
        <v>-</v>
      </c>
    </row>
    <row r="47" spans="1:17" ht="47.25" customHeight="1">
      <c r="A47" s="71">
        <v>37</v>
      </c>
      <c r="B47" s="72" t="e">
        <f t="shared" si="10"/>
        <v>#N/A</v>
      </c>
      <c r="C47" s="73" t="e">
        <f t="shared" si="11"/>
        <v>#N/A</v>
      </c>
      <c r="D47" s="74" t="e">
        <f t="shared" si="12"/>
        <v>#N/A</v>
      </c>
      <c r="E47" s="75" t="e">
        <f t="shared" si="13"/>
        <v>#N/A</v>
      </c>
      <c r="F47" s="31" t="e">
        <f t="shared" si="14"/>
        <v>#N/A</v>
      </c>
      <c r="G47" s="76" t="e">
        <f t="shared" si="15"/>
        <v>#N/A</v>
      </c>
      <c r="L47" s="81">
        <f t="shared" si="16"/>
        <v>39</v>
      </c>
      <c r="M47" s="72" t="str">
        <f>조별합계표!B40</f>
        <v>정재호</v>
      </c>
      <c r="N47" s="77">
        <f t="shared" si="17"/>
        <v>409</v>
      </c>
      <c r="O47" s="74">
        <f>조별합계표!F40</f>
        <v>0</v>
      </c>
      <c r="P47" s="78">
        <f t="shared" si="18"/>
        <v>0</v>
      </c>
      <c r="Q47" s="79" t="str">
        <f t="shared" si="19"/>
        <v>-</v>
      </c>
    </row>
    <row r="48" spans="1:17" ht="47.25" customHeight="1">
      <c r="A48" s="71">
        <v>38</v>
      </c>
      <c r="B48" s="72" t="e">
        <f t="shared" si="10"/>
        <v>#N/A</v>
      </c>
      <c r="C48" s="73" t="e">
        <f t="shared" si="11"/>
        <v>#N/A</v>
      </c>
      <c r="D48" s="74" t="e">
        <f t="shared" si="12"/>
        <v>#N/A</v>
      </c>
      <c r="E48" s="75" t="e">
        <f t="shared" si="13"/>
        <v>#N/A</v>
      </c>
      <c r="F48" s="31" t="e">
        <f t="shared" si="14"/>
        <v>#N/A</v>
      </c>
      <c r="G48" s="76" t="e">
        <f t="shared" si="15"/>
        <v>#N/A</v>
      </c>
      <c r="L48" s="81">
        <f t="shared" si="16"/>
        <v>39</v>
      </c>
      <c r="M48" s="72" t="str">
        <f>조별합계표!B41</f>
        <v>배지훈</v>
      </c>
      <c r="N48" s="77">
        <f t="shared" si="17"/>
        <v>409</v>
      </c>
      <c r="O48" s="74">
        <f>조별합계표!F41</f>
        <v>0</v>
      </c>
      <c r="P48" s="78">
        <f t="shared" si="18"/>
        <v>0</v>
      </c>
      <c r="Q48" s="79" t="str">
        <f t="shared" si="19"/>
        <v>-</v>
      </c>
    </row>
    <row r="49" spans="1:17" ht="47.25" customHeight="1">
      <c r="A49" s="71">
        <v>39</v>
      </c>
      <c r="B49" s="72" t="str">
        <f t="shared" si="10"/>
        <v>최인석</v>
      </c>
      <c r="C49" s="73">
        <f t="shared" si="11"/>
        <v>409</v>
      </c>
      <c r="D49" s="74">
        <f t="shared" si="12"/>
        <v>0</v>
      </c>
      <c r="E49" s="75">
        <f t="shared" si="13"/>
        <v>0</v>
      </c>
      <c r="F49" s="31">
        <f t="shared" si="14"/>
        <v>39</v>
      </c>
      <c r="G49" s="76" t="str">
        <f t="shared" si="15"/>
        <v>-</v>
      </c>
      <c r="L49" s="81">
        <f t="shared" si="16"/>
        <v>17</v>
      </c>
      <c r="M49" s="72" t="str">
        <f>조별합계표!B42</f>
        <v>정보람</v>
      </c>
      <c r="N49" s="77">
        <f t="shared" si="17"/>
        <v>409</v>
      </c>
      <c r="O49" s="74">
        <f>조별합계표!F42</f>
        <v>10</v>
      </c>
      <c r="P49" s="78">
        <f t="shared" si="18"/>
        <v>2.4449877750611249E-2</v>
      </c>
      <c r="Q49" s="79" t="str">
        <f t="shared" si="19"/>
        <v>-</v>
      </c>
    </row>
    <row r="50" spans="1:17" ht="47.25" customHeight="1">
      <c r="A50" s="71">
        <v>40</v>
      </c>
      <c r="B50" s="72" t="e">
        <f t="shared" si="10"/>
        <v>#N/A</v>
      </c>
      <c r="C50" s="73" t="e">
        <f t="shared" si="11"/>
        <v>#N/A</v>
      </c>
      <c r="D50" s="74" t="e">
        <f t="shared" si="12"/>
        <v>#N/A</v>
      </c>
      <c r="E50" s="75" t="e">
        <f t="shared" si="13"/>
        <v>#N/A</v>
      </c>
      <c r="F50" s="31" t="e">
        <f t="shared" si="14"/>
        <v>#N/A</v>
      </c>
      <c r="G50" s="76" t="e">
        <f t="shared" si="15"/>
        <v>#N/A</v>
      </c>
      <c r="L50" s="81">
        <f t="shared" si="16"/>
        <v>34</v>
      </c>
      <c r="M50" s="72" t="str">
        <f>조별합계표!B43</f>
        <v>송학수</v>
      </c>
      <c r="N50" s="77">
        <f t="shared" si="17"/>
        <v>409</v>
      </c>
      <c r="O50" s="74">
        <f>조별합계표!F43</f>
        <v>1</v>
      </c>
      <c r="P50" s="78">
        <f t="shared" si="18"/>
        <v>2.4449877750611247E-3</v>
      </c>
      <c r="Q50" s="79" t="str">
        <f t="shared" si="19"/>
        <v>-</v>
      </c>
    </row>
    <row r="51" spans="1:17" ht="47.25" customHeight="1">
      <c r="A51" s="71">
        <v>41</v>
      </c>
      <c r="B51" s="72" t="e">
        <f t="shared" si="10"/>
        <v>#N/A</v>
      </c>
      <c r="C51" s="73" t="e">
        <f t="shared" si="11"/>
        <v>#N/A</v>
      </c>
      <c r="D51" s="74" t="e">
        <f t="shared" si="12"/>
        <v>#N/A</v>
      </c>
      <c r="E51" s="75" t="e">
        <f t="shared" si="13"/>
        <v>#N/A</v>
      </c>
      <c r="F51" s="31" t="e">
        <f t="shared" si="14"/>
        <v>#N/A</v>
      </c>
      <c r="G51" s="76" t="e">
        <f t="shared" si="15"/>
        <v>#N/A</v>
      </c>
      <c r="L51" s="81">
        <f t="shared" si="16"/>
        <v>39</v>
      </c>
      <c r="M51" s="72" t="str">
        <f>조별합계표!B44</f>
        <v>강동일</v>
      </c>
      <c r="N51" s="77">
        <f t="shared" si="17"/>
        <v>409</v>
      </c>
      <c r="O51" s="74">
        <f>조별합계표!F44</f>
        <v>0</v>
      </c>
      <c r="P51" s="78">
        <f t="shared" si="18"/>
        <v>0</v>
      </c>
      <c r="Q51" s="79" t="str">
        <f t="shared" si="19"/>
        <v>-</v>
      </c>
    </row>
    <row r="52" spans="1:17" ht="47.25" customHeight="1">
      <c r="A52" s="71">
        <v>42</v>
      </c>
      <c r="B52" s="72" t="e">
        <f t="shared" si="10"/>
        <v>#N/A</v>
      </c>
      <c r="C52" s="73" t="e">
        <f t="shared" si="11"/>
        <v>#N/A</v>
      </c>
      <c r="D52" s="74" t="e">
        <f t="shared" si="12"/>
        <v>#N/A</v>
      </c>
      <c r="E52" s="75" t="e">
        <f t="shared" si="13"/>
        <v>#N/A</v>
      </c>
      <c r="F52" s="31" t="e">
        <f t="shared" si="14"/>
        <v>#N/A</v>
      </c>
      <c r="G52" s="76" t="e">
        <f t="shared" si="15"/>
        <v>#N/A</v>
      </c>
      <c r="L52" s="81">
        <f t="shared" si="16"/>
        <v>30</v>
      </c>
      <c r="M52" s="72" t="str">
        <f>조별합계표!B45</f>
        <v>손유재</v>
      </c>
      <c r="N52" s="77">
        <f t="shared" si="17"/>
        <v>409</v>
      </c>
      <c r="O52" s="74">
        <f>조별합계표!F45</f>
        <v>2</v>
      </c>
      <c r="P52" s="78">
        <f t="shared" si="18"/>
        <v>4.8899755501222494E-3</v>
      </c>
      <c r="Q52" s="79" t="str">
        <f t="shared" si="19"/>
        <v>-</v>
      </c>
    </row>
    <row r="53" spans="1:17" ht="47.25" customHeight="1">
      <c r="A53" s="71">
        <v>43</v>
      </c>
      <c r="B53" s="72" t="e">
        <f t="shared" si="10"/>
        <v>#N/A</v>
      </c>
      <c r="C53" s="73" t="e">
        <f t="shared" si="11"/>
        <v>#N/A</v>
      </c>
      <c r="D53" s="74" t="e">
        <f t="shared" si="12"/>
        <v>#N/A</v>
      </c>
      <c r="E53" s="75" t="e">
        <f t="shared" si="13"/>
        <v>#N/A</v>
      </c>
      <c r="F53" s="31" t="e">
        <f t="shared" si="14"/>
        <v>#N/A</v>
      </c>
      <c r="G53" s="76" t="e">
        <f t="shared" si="15"/>
        <v>#N/A</v>
      </c>
      <c r="L53" s="81">
        <f t="shared" si="16"/>
        <v>34</v>
      </c>
      <c r="M53" s="72" t="str">
        <f>조별합계표!B46</f>
        <v>박재환</v>
      </c>
      <c r="N53" s="77">
        <f t="shared" si="17"/>
        <v>409</v>
      </c>
      <c r="O53" s="74">
        <f>조별합계표!F46</f>
        <v>1</v>
      </c>
      <c r="P53" s="78">
        <f t="shared" si="18"/>
        <v>2.4449877750611247E-3</v>
      </c>
      <c r="Q53" s="79" t="str">
        <f t="shared" si="19"/>
        <v>-</v>
      </c>
    </row>
    <row r="54" spans="1:17" ht="47.25" customHeight="1">
      <c r="A54" s="71">
        <v>44</v>
      </c>
      <c r="B54" s="72" t="e">
        <f t="shared" si="10"/>
        <v>#N/A</v>
      </c>
      <c r="C54" s="73" t="e">
        <f t="shared" si="11"/>
        <v>#N/A</v>
      </c>
      <c r="D54" s="74" t="e">
        <f t="shared" si="12"/>
        <v>#N/A</v>
      </c>
      <c r="E54" s="75" t="e">
        <f t="shared" si="13"/>
        <v>#N/A</v>
      </c>
      <c r="F54" s="31" t="e">
        <f t="shared" si="14"/>
        <v>#N/A</v>
      </c>
      <c r="G54" s="76" t="e">
        <f t="shared" si="15"/>
        <v>#N/A</v>
      </c>
      <c r="L54" s="81">
        <f t="shared" si="16"/>
        <v>34</v>
      </c>
      <c r="M54" s="72" t="str">
        <f>조별합계표!B47</f>
        <v>강명구</v>
      </c>
      <c r="N54" s="77">
        <f t="shared" si="17"/>
        <v>409</v>
      </c>
      <c r="O54" s="74">
        <f>조별합계표!F47</f>
        <v>1</v>
      </c>
      <c r="P54" s="78">
        <f t="shared" si="18"/>
        <v>2.4449877750611247E-3</v>
      </c>
      <c r="Q54" s="79" t="str">
        <f t="shared" si="19"/>
        <v>-</v>
      </c>
    </row>
    <row r="55" spans="1:17" ht="47.25" customHeight="1">
      <c r="A55" s="71">
        <v>45</v>
      </c>
      <c r="B55" s="72" t="e">
        <f t="shared" si="10"/>
        <v>#N/A</v>
      </c>
      <c r="C55" s="73" t="e">
        <f t="shared" si="11"/>
        <v>#N/A</v>
      </c>
      <c r="D55" s="74" t="e">
        <f t="shared" si="12"/>
        <v>#N/A</v>
      </c>
      <c r="E55" s="75" t="e">
        <f t="shared" si="13"/>
        <v>#N/A</v>
      </c>
      <c r="F55" s="31" t="e">
        <f t="shared" si="14"/>
        <v>#N/A</v>
      </c>
      <c r="G55" s="76" t="e">
        <f t="shared" si="15"/>
        <v>#N/A</v>
      </c>
      <c r="L55" s="81">
        <f t="shared" si="16"/>
        <v>39</v>
      </c>
      <c r="M55" s="72" t="str">
        <f>조별합계표!B48</f>
        <v>김한경</v>
      </c>
      <c r="N55" s="77">
        <f t="shared" si="17"/>
        <v>409</v>
      </c>
      <c r="O55" s="74">
        <f>조별합계표!F48</f>
        <v>0</v>
      </c>
      <c r="P55" s="78">
        <f t="shared" si="18"/>
        <v>0</v>
      </c>
      <c r="Q55" s="79" t="str">
        <f t="shared" si="19"/>
        <v>-</v>
      </c>
    </row>
    <row r="56" spans="1:17" ht="47.25" customHeight="1">
      <c r="A56" s="71">
        <v>46</v>
      </c>
      <c r="B56" s="72" t="e">
        <f t="shared" si="10"/>
        <v>#N/A</v>
      </c>
      <c r="C56" s="73" t="e">
        <f t="shared" si="11"/>
        <v>#N/A</v>
      </c>
      <c r="D56" s="74" t="e">
        <f t="shared" si="12"/>
        <v>#N/A</v>
      </c>
      <c r="E56" s="75" t="e">
        <f t="shared" si="13"/>
        <v>#N/A</v>
      </c>
      <c r="F56" s="31" t="e">
        <f t="shared" si="14"/>
        <v>#N/A</v>
      </c>
      <c r="G56" s="76" t="e">
        <f t="shared" si="15"/>
        <v>#N/A</v>
      </c>
      <c r="L56" s="81">
        <f t="shared" si="16"/>
        <v>39</v>
      </c>
      <c r="M56" s="72" t="str">
        <f>조별합계표!B49</f>
        <v>백선일</v>
      </c>
      <c r="N56" s="77">
        <f t="shared" si="17"/>
        <v>409</v>
      </c>
      <c r="O56" s="74">
        <f>조별합계표!F49</f>
        <v>0</v>
      </c>
      <c r="P56" s="78">
        <f t="shared" si="18"/>
        <v>0</v>
      </c>
      <c r="Q56" s="79" t="str">
        <f t="shared" si="19"/>
        <v>-</v>
      </c>
    </row>
    <row r="57" spans="1:17" ht="47.25" customHeight="1">
      <c r="A57" s="71">
        <v>47</v>
      </c>
      <c r="B57" s="72" t="e">
        <f t="shared" si="10"/>
        <v>#N/A</v>
      </c>
      <c r="C57" s="73" t="e">
        <f t="shared" si="11"/>
        <v>#N/A</v>
      </c>
      <c r="D57" s="74" t="e">
        <f t="shared" si="12"/>
        <v>#N/A</v>
      </c>
      <c r="E57" s="75" t="e">
        <f t="shared" si="13"/>
        <v>#N/A</v>
      </c>
      <c r="F57" s="31" t="e">
        <f t="shared" si="14"/>
        <v>#N/A</v>
      </c>
      <c r="G57" s="76" t="e">
        <f t="shared" si="15"/>
        <v>#N/A</v>
      </c>
      <c r="L57" s="81">
        <f t="shared" si="16"/>
        <v>15</v>
      </c>
      <c r="M57" s="72" t="str">
        <f>조별합계표!B50</f>
        <v>안방선</v>
      </c>
      <c r="N57" s="77">
        <f t="shared" si="17"/>
        <v>409</v>
      </c>
      <c r="O57" s="74">
        <f>조별합계표!F50</f>
        <v>15</v>
      </c>
      <c r="P57" s="78">
        <f t="shared" si="18"/>
        <v>3.6674816625916873E-2</v>
      </c>
      <c r="Q57" s="79" t="str">
        <f t="shared" si="19"/>
        <v>-</v>
      </c>
    </row>
    <row r="58" spans="1:17" ht="47.25" customHeight="1">
      <c r="A58" s="71">
        <v>48</v>
      </c>
      <c r="B58" s="72" t="e">
        <f t="shared" si="10"/>
        <v>#N/A</v>
      </c>
      <c r="C58" s="73" t="e">
        <f t="shared" si="11"/>
        <v>#N/A</v>
      </c>
      <c r="D58" s="74" t="e">
        <f t="shared" si="12"/>
        <v>#N/A</v>
      </c>
      <c r="E58" s="75" t="e">
        <f t="shared" si="13"/>
        <v>#N/A</v>
      </c>
      <c r="F58" s="31" t="e">
        <f t="shared" si="14"/>
        <v>#N/A</v>
      </c>
      <c r="G58" s="76" t="e">
        <f t="shared" si="15"/>
        <v>#N/A</v>
      </c>
      <c r="L58" s="81">
        <f t="shared" si="16"/>
        <v>25</v>
      </c>
      <c r="M58" s="72">
        <f>조별합계표!B51</f>
        <v>0</v>
      </c>
      <c r="N58" s="77">
        <f t="shared" si="17"/>
        <v>409</v>
      </c>
      <c r="O58" s="74">
        <f>조별합계표!F51</f>
        <v>3</v>
      </c>
      <c r="P58" s="78">
        <f t="shared" si="18"/>
        <v>7.3349633251833741E-3</v>
      </c>
      <c r="Q58" s="79" t="str">
        <f t="shared" si="19"/>
        <v>-</v>
      </c>
    </row>
    <row r="59" spans="1:17" ht="47.25" customHeight="1">
      <c r="A59" s="71">
        <v>49</v>
      </c>
      <c r="B59" s="72" t="e">
        <f t="shared" si="10"/>
        <v>#N/A</v>
      </c>
      <c r="C59" s="73" t="e">
        <f t="shared" si="11"/>
        <v>#N/A</v>
      </c>
      <c r="D59" s="74" t="e">
        <f t="shared" si="12"/>
        <v>#N/A</v>
      </c>
      <c r="E59" s="75" t="e">
        <f t="shared" si="13"/>
        <v>#N/A</v>
      </c>
      <c r="F59" s="31" t="e">
        <f t="shared" si="14"/>
        <v>#N/A</v>
      </c>
      <c r="G59" s="76" t="e">
        <f t="shared" si="15"/>
        <v>#N/A</v>
      </c>
      <c r="L59" s="81">
        <f t="shared" si="16"/>
        <v>25</v>
      </c>
      <c r="M59" s="72">
        <f>조별합계표!B52</f>
        <v>0</v>
      </c>
      <c r="N59" s="77">
        <f t="shared" si="17"/>
        <v>409</v>
      </c>
      <c r="O59" s="74">
        <f>조별합계표!F52</f>
        <v>3</v>
      </c>
      <c r="P59" s="78">
        <f t="shared" si="18"/>
        <v>7.3349633251833741E-3</v>
      </c>
      <c r="Q59" s="79" t="str">
        <f t="shared" si="19"/>
        <v>-</v>
      </c>
    </row>
    <row r="60" spans="1:17" ht="47.25" customHeight="1" thickBot="1">
      <c r="A60" s="71">
        <v>50</v>
      </c>
      <c r="B60" s="72" t="e">
        <f t="shared" si="10"/>
        <v>#N/A</v>
      </c>
      <c r="C60" s="73" t="e">
        <f t="shared" si="11"/>
        <v>#N/A</v>
      </c>
      <c r="D60" s="74" t="e">
        <f t="shared" si="12"/>
        <v>#N/A</v>
      </c>
      <c r="E60" s="75" t="e">
        <f t="shared" si="13"/>
        <v>#N/A</v>
      </c>
      <c r="F60" s="31" t="e">
        <f t="shared" si="14"/>
        <v>#N/A</v>
      </c>
      <c r="G60" s="76" t="e">
        <f t="shared" si="15"/>
        <v>#N/A</v>
      </c>
      <c r="L60" s="82">
        <f t="shared" si="16"/>
        <v>30</v>
      </c>
      <c r="M60" s="72">
        <f>조별합계표!B53</f>
        <v>0</v>
      </c>
      <c r="N60" s="77">
        <f t="shared" si="17"/>
        <v>409</v>
      </c>
      <c r="O60" s="74">
        <f>조별합계표!F53</f>
        <v>2</v>
      </c>
      <c r="P60" s="78">
        <f t="shared" si="18"/>
        <v>4.8899755501222494E-3</v>
      </c>
      <c r="Q60" s="79" t="str">
        <f t="shared" si="19"/>
        <v>-</v>
      </c>
    </row>
  </sheetData>
  <mergeCells count="4">
    <mergeCell ref="E4:E7"/>
    <mergeCell ref="F4:F7"/>
    <mergeCell ref="G4:G7"/>
    <mergeCell ref="A1:G1"/>
  </mergeCells>
  <phoneticPr fontId="1" type="noConversion"/>
  <pageMargins left="0.55118110236220474" right="0.70866141732283472" top="0.98425196850393704" bottom="0.98425196850393704" header="0.51181102362204722" footer="0.51181102362204722"/>
  <pageSetup paperSize="9" scale="61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63"/>
  <sheetViews>
    <sheetView topLeftCell="A39" zoomScale="85" zoomScaleNormal="85" workbookViewId="0">
      <selection activeCell="B52" sqref="B52"/>
    </sheetView>
  </sheetViews>
  <sheetFormatPr baseColWidth="10" defaultColWidth="8.83203125" defaultRowHeight="14"/>
  <cols>
    <col min="2" max="2" width="19.33203125" customWidth="1"/>
    <col min="3" max="5" width="16.5" customWidth="1"/>
    <col min="6" max="6" width="17.5" customWidth="1"/>
  </cols>
  <sheetData>
    <row r="1" spans="1:6" ht="38.25" customHeight="1">
      <c r="A1" s="91" t="s">
        <v>21</v>
      </c>
      <c r="B1" s="91"/>
      <c r="C1" s="91"/>
      <c r="D1" s="91"/>
      <c r="E1" s="91"/>
      <c r="F1" s="91"/>
    </row>
    <row r="2" spans="1:6" ht="42.75" customHeight="1" thickBot="1"/>
    <row r="3" spans="1:6" ht="34.5" customHeight="1" thickBot="1">
      <c r="A3" s="33" t="s">
        <v>22</v>
      </c>
      <c r="B3" s="38" t="s">
        <v>15</v>
      </c>
      <c r="C3" s="36" t="s">
        <v>23</v>
      </c>
      <c r="D3" s="34" t="s">
        <v>24</v>
      </c>
      <c r="E3" s="34" t="s">
        <v>25</v>
      </c>
      <c r="F3" s="35" t="s">
        <v>26</v>
      </c>
    </row>
    <row r="4" spans="1:6" ht="33.75" customHeight="1" thickTop="1">
      <c r="A4" s="40">
        <v>1</v>
      </c>
      <c r="B4" s="44" t="s">
        <v>27</v>
      </c>
      <c r="C4" s="59">
        <f>개표집계표A!J5</f>
        <v>10</v>
      </c>
      <c r="D4" s="64">
        <f>개표집계표B!J5</f>
        <v>2</v>
      </c>
      <c r="E4" s="64">
        <f>개표집계표C!J5</f>
        <v>9</v>
      </c>
      <c r="F4" s="62">
        <f>SUM(C4:E4)</f>
        <v>21</v>
      </c>
    </row>
    <row r="5" spans="1:6" ht="33.75" customHeight="1">
      <c r="A5" s="25">
        <v>2</v>
      </c>
      <c r="B5" s="45" t="s">
        <v>28</v>
      </c>
      <c r="C5" s="59">
        <f>개표집계표A!J6</f>
        <v>1</v>
      </c>
      <c r="D5" s="64">
        <f>개표집계표B!J6</f>
        <v>2</v>
      </c>
      <c r="E5" s="64">
        <f>개표집계표C!J6</f>
        <v>1</v>
      </c>
      <c r="F5" s="63">
        <f>SUM(C5:E5)</f>
        <v>4</v>
      </c>
    </row>
    <row r="6" spans="1:6" ht="33.75" customHeight="1">
      <c r="A6" s="25">
        <v>3</v>
      </c>
      <c r="B6" s="45" t="s">
        <v>29</v>
      </c>
      <c r="C6" s="59">
        <f>개표집계표A!J7</f>
        <v>9</v>
      </c>
      <c r="D6" s="64">
        <f>개표집계표B!J7</f>
        <v>5</v>
      </c>
      <c r="E6" s="64">
        <f>개표집계표C!J7</f>
        <v>12</v>
      </c>
      <c r="F6" s="63">
        <f>SUM(C6:E6)</f>
        <v>26</v>
      </c>
    </row>
    <row r="7" spans="1:6" ht="33.75" customHeight="1">
      <c r="A7" s="25">
        <v>4</v>
      </c>
      <c r="B7" s="45" t="s">
        <v>30</v>
      </c>
      <c r="C7" s="59">
        <f>개표집계표A!J8</f>
        <v>1</v>
      </c>
      <c r="D7" s="64">
        <f>개표집계표B!J8</f>
        <v>1</v>
      </c>
      <c r="E7" s="64">
        <f>개표집계표C!J8</f>
        <v>2</v>
      </c>
      <c r="F7" s="63">
        <f>SUM(C7:E7)</f>
        <v>4</v>
      </c>
    </row>
    <row r="8" spans="1:6" ht="33.75" customHeight="1">
      <c r="A8" s="25">
        <v>5</v>
      </c>
      <c r="B8" s="45" t="s">
        <v>31</v>
      </c>
      <c r="C8" s="59">
        <f>개표집계표A!J9</f>
        <v>3</v>
      </c>
      <c r="D8" s="64">
        <f>개표집계표B!J9</f>
        <v>0</v>
      </c>
      <c r="E8" s="64">
        <f>개표집계표C!J9</f>
        <v>2</v>
      </c>
      <c r="F8" s="63">
        <f>SUM(C8:E8)</f>
        <v>5</v>
      </c>
    </row>
    <row r="9" spans="1:6" ht="33.75" customHeight="1">
      <c r="A9" s="55">
        <v>6</v>
      </c>
      <c r="B9" s="56" t="s">
        <v>32</v>
      </c>
      <c r="C9" s="59">
        <f>개표집계표A!J10</f>
        <v>1</v>
      </c>
      <c r="D9" s="64">
        <f>개표집계표B!J10</f>
        <v>3</v>
      </c>
      <c r="E9" s="64">
        <f>개표집계표C!J10</f>
        <v>4</v>
      </c>
      <c r="F9" s="63">
        <f t="shared" ref="F9:F59" si="0">SUM(C9:E9)</f>
        <v>8</v>
      </c>
    </row>
    <row r="10" spans="1:6" ht="33.75" customHeight="1">
      <c r="A10" s="55">
        <v>7</v>
      </c>
      <c r="B10" s="56" t="s">
        <v>33</v>
      </c>
      <c r="C10" s="59">
        <f>개표집계표A!J11</f>
        <v>46</v>
      </c>
      <c r="D10" s="64">
        <f>개표집계표B!J11</f>
        <v>75</v>
      </c>
      <c r="E10" s="64">
        <f>개표집계표C!J11</f>
        <v>70</v>
      </c>
      <c r="F10" s="63">
        <f t="shared" si="0"/>
        <v>191</v>
      </c>
    </row>
    <row r="11" spans="1:6" ht="33.75" customHeight="1">
      <c r="A11" s="55">
        <v>8</v>
      </c>
      <c r="B11" s="56" t="s">
        <v>34</v>
      </c>
      <c r="C11" s="59">
        <f>개표집계표A!J12</f>
        <v>1</v>
      </c>
      <c r="D11" s="64">
        <f>개표집계표B!J12</f>
        <v>0</v>
      </c>
      <c r="E11" s="64">
        <f>개표집계표C!J12</f>
        <v>3</v>
      </c>
      <c r="F11" s="63">
        <f t="shared" si="0"/>
        <v>4</v>
      </c>
    </row>
    <row r="12" spans="1:6" ht="33.75" customHeight="1">
      <c r="A12" s="55">
        <v>9</v>
      </c>
      <c r="B12" s="56" t="s">
        <v>35</v>
      </c>
      <c r="C12" s="59">
        <f>개표집계표A!J13</f>
        <v>53</v>
      </c>
      <c r="D12" s="64">
        <f>개표집계표B!J13</f>
        <v>70</v>
      </c>
      <c r="E12" s="64">
        <f>개표집계표C!J13</f>
        <v>75</v>
      </c>
      <c r="F12" s="63">
        <f t="shared" si="0"/>
        <v>198</v>
      </c>
    </row>
    <row r="13" spans="1:6" ht="33.75" customHeight="1">
      <c r="A13" s="55">
        <v>10</v>
      </c>
      <c r="B13" s="56" t="s">
        <v>36</v>
      </c>
      <c r="C13" s="59">
        <f>개표집계표A!J14</f>
        <v>2</v>
      </c>
      <c r="D13" s="64">
        <f>개표집계표B!J14</f>
        <v>1</v>
      </c>
      <c r="E13" s="64">
        <f>개표집계표C!J14</f>
        <v>0</v>
      </c>
      <c r="F13" s="63">
        <f t="shared" si="0"/>
        <v>3</v>
      </c>
    </row>
    <row r="14" spans="1:6" ht="33.75" customHeight="1">
      <c r="A14" s="55">
        <v>11</v>
      </c>
      <c r="B14" s="56" t="s">
        <v>37</v>
      </c>
      <c r="C14" s="59">
        <f>개표집계표A!J15</f>
        <v>0</v>
      </c>
      <c r="D14" s="64">
        <f>개표집계표B!J15</f>
        <v>0</v>
      </c>
      <c r="E14" s="64">
        <f>개표집계표C!J15</f>
        <v>1</v>
      </c>
      <c r="F14" s="63">
        <f t="shared" si="0"/>
        <v>1</v>
      </c>
    </row>
    <row r="15" spans="1:6" ht="33.75" customHeight="1">
      <c r="A15" s="55">
        <v>12</v>
      </c>
      <c r="B15" s="56" t="s">
        <v>38</v>
      </c>
      <c r="C15" s="59">
        <f>개표집계표A!J16</f>
        <v>18</v>
      </c>
      <c r="D15" s="64">
        <f>개표집계표B!J16</f>
        <v>34</v>
      </c>
      <c r="E15" s="64">
        <f>개표집계표C!J16</f>
        <v>27</v>
      </c>
      <c r="F15" s="63">
        <f t="shared" si="0"/>
        <v>79</v>
      </c>
    </row>
    <row r="16" spans="1:6" ht="33.75" customHeight="1">
      <c r="A16" s="55">
        <v>13</v>
      </c>
      <c r="B16" s="56" t="s">
        <v>39</v>
      </c>
      <c r="C16" s="59">
        <f>개표집계표A!J17</f>
        <v>0</v>
      </c>
      <c r="D16" s="64">
        <f>개표집계표B!J17</f>
        <v>2</v>
      </c>
      <c r="E16" s="64">
        <f>개표집계표C!J17</f>
        <v>1</v>
      </c>
      <c r="F16" s="63">
        <f t="shared" si="0"/>
        <v>3</v>
      </c>
    </row>
    <row r="17" spans="1:6" ht="33.75" customHeight="1">
      <c r="A17" s="55">
        <v>14</v>
      </c>
      <c r="B17" s="56" t="s">
        <v>40</v>
      </c>
      <c r="C17" s="59">
        <f>개표집계표A!J18</f>
        <v>19</v>
      </c>
      <c r="D17" s="64">
        <f>개표집계표B!J18</f>
        <v>36</v>
      </c>
      <c r="E17" s="64">
        <f>개표집계표C!J18</f>
        <v>28</v>
      </c>
      <c r="F17" s="63">
        <f t="shared" si="0"/>
        <v>83</v>
      </c>
    </row>
    <row r="18" spans="1:6" ht="33.75" customHeight="1">
      <c r="A18" s="55">
        <v>15</v>
      </c>
      <c r="B18" s="56" t="s">
        <v>41</v>
      </c>
      <c r="C18" s="59">
        <f>개표집계표A!J19</f>
        <v>6</v>
      </c>
      <c r="D18" s="64">
        <f>개표집계표B!J19</f>
        <v>7</v>
      </c>
      <c r="E18" s="64">
        <f>개표집계표C!J19</f>
        <v>6</v>
      </c>
      <c r="F18" s="63">
        <f t="shared" si="0"/>
        <v>19</v>
      </c>
    </row>
    <row r="19" spans="1:6" ht="33.75" customHeight="1">
      <c r="A19" s="55">
        <v>16</v>
      </c>
      <c r="B19" s="56" t="s">
        <v>42</v>
      </c>
      <c r="C19" s="59">
        <f>개표집계표A!J20</f>
        <v>4</v>
      </c>
      <c r="D19" s="64">
        <f>개표집계표B!J20</f>
        <v>3</v>
      </c>
      <c r="E19" s="64">
        <f>개표집계표C!J20</f>
        <v>3</v>
      </c>
      <c r="F19" s="63">
        <f t="shared" si="0"/>
        <v>10</v>
      </c>
    </row>
    <row r="20" spans="1:6" ht="33.75" customHeight="1">
      <c r="A20" s="55">
        <v>17</v>
      </c>
      <c r="B20" s="56" t="s">
        <v>43</v>
      </c>
      <c r="C20" s="59">
        <f>개표집계표A!J21</f>
        <v>30</v>
      </c>
      <c r="D20" s="64">
        <f>개표집계표B!J21</f>
        <v>33</v>
      </c>
      <c r="E20" s="64">
        <f>개표집계표C!J21</f>
        <v>32</v>
      </c>
      <c r="F20" s="63">
        <f t="shared" si="0"/>
        <v>95</v>
      </c>
    </row>
    <row r="21" spans="1:6" ht="33.75" customHeight="1">
      <c r="A21" s="55">
        <v>18</v>
      </c>
      <c r="B21" s="56" t="s">
        <v>44</v>
      </c>
      <c r="C21" s="59">
        <f>개표집계표A!J22</f>
        <v>0</v>
      </c>
      <c r="D21" s="64">
        <f>개표집계표B!J22</f>
        <v>1</v>
      </c>
      <c r="E21" s="64">
        <f>개표집계표C!J22</f>
        <v>1</v>
      </c>
      <c r="F21" s="63">
        <f t="shared" si="0"/>
        <v>2</v>
      </c>
    </row>
    <row r="22" spans="1:6" ht="33.75" customHeight="1">
      <c r="A22" s="55">
        <v>19</v>
      </c>
      <c r="B22" s="56" t="s">
        <v>45</v>
      </c>
      <c r="C22" s="59">
        <f>개표집계표A!J23</f>
        <v>0</v>
      </c>
      <c r="D22" s="64">
        <f>개표집계표B!J23</f>
        <v>0</v>
      </c>
      <c r="E22" s="64">
        <f>개표집계표C!J23</f>
        <v>0</v>
      </c>
      <c r="F22" s="63">
        <f t="shared" si="0"/>
        <v>0</v>
      </c>
    </row>
    <row r="23" spans="1:6" ht="33.75" customHeight="1">
      <c r="A23" s="55">
        <v>20</v>
      </c>
      <c r="B23" s="56" t="s">
        <v>46</v>
      </c>
      <c r="C23" s="59">
        <f>개표집계표A!J24</f>
        <v>8</v>
      </c>
      <c r="D23" s="64">
        <f>개표집계표B!J24</f>
        <v>17</v>
      </c>
      <c r="E23" s="64">
        <f>개표집계표C!J24</f>
        <v>12</v>
      </c>
      <c r="F23" s="63">
        <f t="shared" si="0"/>
        <v>37</v>
      </c>
    </row>
    <row r="24" spans="1:6" ht="33.75" customHeight="1">
      <c r="A24" s="55">
        <v>21</v>
      </c>
      <c r="B24" s="56" t="s">
        <v>47</v>
      </c>
      <c r="C24" s="59">
        <f>개표집계표A!J25</f>
        <v>0</v>
      </c>
      <c r="D24" s="64">
        <f>개표집계표B!J25</f>
        <v>0</v>
      </c>
      <c r="E24" s="64">
        <f>개표집계표C!J25</f>
        <v>0</v>
      </c>
      <c r="F24" s="63">
        <f t="shared" si="0"/>
        <v>0</v>
      </c>
    </row>
    <row r="25" spans="1:6" ht="33.75" customHeight="1">
      <c r="A25" s="55">
        <v>22</v>
      </c>
      <c r="B25" s="56" t="s">
        <v>48</v>
      </c>
      <c r="C25" s="59">
        <f>개표집계표A!J26</f>
        <v>0</v>
      </c>
      <c r="D25" s="64">
        <f>개표집계표B!J26</f>
        <v>0</v>
      </c>
      <c r="E25" s="64">
        <f>개표집계표C!J26</f>
        <v>1</v>
      </c>
      <c r="F25" s="63">
        <f t="shared" si="0"/>
        <v>1</v>
      </c>
    </row>
    <row r="26" spans="1:6" ht="33.75" customHeight="1">
      <c r="A26" s="55">
        <v>23</v>
      </c>
      <c r="B26" s="56" t="s">
        <v>49</v>
      </c>
      <c r="C26" s="59">
        <f>개표집계표A!J27</f>
        <v>16</v>
      </c>
      <c r="D26" s="64">
        <f>개표집계표B!J27</f>
        <v>29</v>
      </c>
      <c r="E26" s="64">
        <f>개표집계표C!J27</f>
        <v>28</v>
      </c>
      <c r="F26" s="63">
        <f t="shared" si="0"/>
        <v>73</v>
      </c>
    </row>
    <row r="27" spans="1:6" ht="33.75" customHeight="1">
      <c r="A27" s="55">
        <v>24</v>
      </c>
      <c r="B27" s="56" t="s">
        <v>50</v>
      </c>
      <c r="C27" s="59">
        <f>개표집계표A!J28</f>
        <v>3</v>
      </c>
      <c r="D27" s="64">
        <f>개표집계표B!J28</f>
        <v>6</v>
      </c>
      <c r="E27" s="64">
        <f>개표집계표C!J28</f>
        <v>5</v>
      </c>
      <c r="F27" s="63">
        <f t="shared" si="0"/>
        <v>14</v>
      </c>
    </row>
    <row r="28" spans="1:6" ht="33.75" customHeight="1">
      <c r="A28" s="55">
        <v>25</v>
      </c>
      <c r="B28" s="56" t="s">
        <v>51</v>
      </c>
      <c r="C28" s="59">
        <f>개표집계표A!J29</f>
        <v>3</v>
      </c>
      <c r="D28" s="64">
        <f>개표집계표B!J29</f>
        <v>8</v>
      </c>
      <c r="E28" s="64">
        <f>개표집계표C!J29</f>
        <v>9</v>
      </c>
      <c r="F28" s="63">
        <f t="shared" si="0"/>
        <v>20</v>
      </c>
    </row>
    <row r="29" spans="1:6" ht="33.75" customHeight="1">
      <c r="A29" s="55">
        <v>26</v>
      </c>
      <c r="B29" s="56" t="s">
        <v>52</v>
      </c>
      <c r="C29" s="59">
        <f>개표집계표A!J30</f>
        <v>5</v>
      </c>
      <c r="D29" s="64">
        <f>개표집계표B!J30</f>
        <v>15</v>
      </c>
      <c r="E29" s="64">
        <f>개표집계표C!J30</f>
        <v>18</v>
      </c>
      <c r="F29" s="63">
        <f t="shared" si="0"/>
        <v>38</v>
      </c>
    </row>
    <row r="30" spans="1:6" ht="33.75" customHeight="1">
      <c r="A30" s="55">
        <v>27</v>
      </c>
      <c r="B30" s="56" t="s">
        <v>53</v>
      </c>
      <c r="C30" s="59">
        <f>개표집계표A!J31</f>
        <v>0</v>
      </c>
      <c r="D30" s="64">
        <f>개표집계표B!J31</f>
        <v>0</v>
      </c>
      <c r="E30" s="64">
        <f>개표집계표C!J31</f>
        <v>0</v>
      </c>
      <c r="F30" s="63">
        <f t="shared" si="0"/>
        <v>0</v>
      </c>
    </row>
    <row r="31" spans="1:6" ht="33.75" customHeight="1">
      <c r="A31" s="55">
        <v>28</v>
      </c>
      <c r="B31" s="56" t="s">
        <v>54</v>
      </c>
      <c r="C31" s="59">
        <f>개표집계표A!J32</f>
        <v>0</v>
      </c>
      <c r="D31" s="64">
        <f>개표집계표B!J32</f>
        <v>0</v>
      </c>
      <c r="E31" s="64">
        <f>개표집계표C!J32</f>
        <v>0</v>
      </c>
      <c r="F31" s="63">
        <f t="shared" si="0"/>
        <v>0</v>
      </c>
    </row>
    <row r="32" spans="1:6" ht="33.75" customHeight="1">
      <c r="A32" s="55">
        <v>29</v>
      </c>
      <c r="B32" s="56" t="s">
        <v>55</v>
      </c>
      <c r="C32" s="59">
        <f>개표집계표A!J33</f>
        <v>0</v>
      </c>
      <c r="D32" s="64">
        <f>개표집계표B!J33</f>
        <v>1</v>
      </c>
      <c r="E32" s="64">
        <f>개표집계표C!J33</f>
        <v>3</v>
      </c>
      <c r="F32" s="63">
        <f t="shared" si="0"/>
        <v>4</v>
      </c>
    </row>
    <row r="33" spans="1:6" ht="33.75" customHeight="1">
      <c r="A33" s="55">
        <v>30</v>
      </c>
      <c r="B33" s="56" t="s">
        <v>56</v>
      </c>
      <c r="C33" s="59">
        <f>개표집계표A!J34</f>
        <v>0</v>
      </c>
      <c r="D33" s="64">
        <f>개표집계표B!J34</f>
        <v>0</v>
      </c>
      <c r="E33" s="64">
        <f>개표집계표C!J34</f>
        <v>0</v>
      </c>
      <c r="F33" s="63">
        <f t="shared" ref="F33:F58" si="1">SUM(C33:E33)</f>
        <v>0</v>
      </c>
    </row>
    <row r="34" spans="1:6" ht="33.75" customHeight="1">
      <c r="A34" s="55">
        <v>31</v>
      </c>
      <c r="B34" s="56" t="s">
        <v>57</v>
      </c>
      <c r="C34" s="59">
        <f>개표집계표A!J35</f>
        <v>48</v>
      </c>
      <c r="D34" s="64">
        <f>개표집계표B!J35</f>
        <v>72</v>
      </c>
      <c r="E34" s="64">
        <f>개표집계표C!J35</f>
        <v>67</v>
      </c>
      <c r="F34" s="63">
        <f t="shared" si="1"/>
        <v>187</v>
      </c>
    </row>
    <row r="35" spans="1:6" ht="33.75" customHeight="1">
      <c r="A35" s="55">
        <v>32</v>
      </c>
      <c r="B35" s="56" t="s">
        <v>58</v>
      </c>
      <c r="C35" s="59">
        <f>개표집계표A!J36</f>
        <v>1</v>
      </c>
      <c r="D35" s="64">
        <f>개표집계표B!J36</f>
        <v>1</v>
      </c>
      <c r="E35" s="64">
        <f>개표집계표C!J36</f>
        <v>1</v>
      </c>
      <c r="F35" s="63">
        <f t="shared" si="1"/>
        <v>3</v>
      </c>
    </row>
    <row r="36" spans="1:6" ht="33.75" customHeight="1">
      <c r="A36" s="55">
        <v>33</v>
      </c>
      <c r="B36" s="56" t="s">
        <v>59</v>
      </c>
      <c r="C36" s="59">
        <f>개표집계표A!J37</f>
        <v>9</v>
      </c>
      <c r="D36" s="64">
        <f>개표집계표B!J37</f>
        <v>6</v>
      </c>
      <c r="E36" s="64">
        <f>개표집계표C!J37</f>
        <v>11</v>
      </c>
      <c r="F36" s="63">
        <f t="shared" si="1"/>
        <v>26</v>
      </c>
    </row>
    <row r="37" spans="1:6" ht="33.75" customHeight="1">
      <c r="A37" s="55">
        <v>34</v>
      </c>
      <c r="B37" s="56" t="s">
        <v>60</v>
      </c>
      <c r="C37" s="59">
        <f>개표집계표A!J38</f>
        <v>1</v>
      </c>
      <c r="D37" s="64">
        <f>개표집계표B!J38</f>
        <v>0</v>
      </c>
      <c r="E37" s="64">
        <f>개표집계표C!J38</f>
        <v>1</v>
      </c>
      <c r="F37" s="63">
        <f t="shared" si="1"/>
        <v>2</v>
      </c>
    </row>
    <row r="38" spans="1:6" ht="33.75" customHeight="1">
      <c r="A38" s="55">
        <v>35</v>
      </c>
      <c r="B38" s="56" t="s">
        <v>61</v>
      </c>
      <c r="C38" s="59">
        <f>개표집계표A!J39</f>
        <v>0</v>
      </c>
      <c r="D38" s="64">
        <f>개표집계표B!J39</f>
        <v>0</v>
      </c>
      <c r="E38" s="64">
        <f>개표집계표C!J39</f>
        <v>0</v>
      </c>
      <c r="F38" s="63">
        <f t="shared" si="1"/>
        <v>0</v>
      </c>
    </row>
    <row r="39" spans="1:6" ht="33.75" customHeight="1">
      <c r="A39" s="55">
        <v>36</v>
      </c>
      <c r="B39" s="56" t="s">
        <v>62</v>
      </c>
      <c r="C39" s="59">
        <f>개표집계표A!J40</f>
        <v>0</v>
      </c>
      <c r="D39" s="64">
        <f>개표집계표B!J40</f>
        <v>0</v>
      </c>
      <c r="E39" s="64">
        <f>개표집계표C!J40</f>
        <v>0</v>
      </c>
      <c r="F39" s="63">
        <f t="shared" si="1"/>
        <v>0</v>
      </c>
    </row>
    <row r="40" spans="1:6" ht="33.75" customHeight="1">
      <c r="A40" s="55">
        <v>37</v>
      </c>
      <c r="B40" s="56" t="s">
        <v>63</v>
      </c>
      <c r="C40" s="59">
        <f>개표집계표A!J41</f>
        <v>0</v>
      </c>
      <c r="D40" s="64">
        <f>개표집계표B!J41</f>
        <v>0</v>
      </c>
      <c r="E40" s="64">
        <f>개표집계표C!J41</f>
        <v>0</v>
      </c>
      <c r="F40" s="63">
        <f t="shared" si="1"/>
        <v>0</v>
      </c>
    </row>
    <row r="41" spans="1:6" ht="33.75" customHeight="1">
      <c r="A41" s="55">
        <v>38</v>
      </c>
      <c r="B41" s="56" t="s">
        <v>64</v>
      </c>
      <c r="C41" s="59">
        <f>개표집계표A!J42</f>
        <v>0</v>
      </c>
      <c r="D41" s="64">
        <f>개표집계표B!J42</f>
        <v>0</v>
      </c>
      <c r="E41" s="64">
        <f>개표집계표C!J42</f>
        <v>0</v>
      </c>
      <c r="F41" s="63">
        <f t="shared" si="1"/>
        <v>0</v>
      </c>
    </row>
    <row r="42" spans="1:6" ht="33.75" customHeight="1">
      <c r="A42" s="55">
        <v>39</v>
      </c>
      <c r="B42" s="56" t="s">
        <v>65</v>
      </c>
      <c r="C42" s="59">
        <f>개표집계표A!J43</f>
        <v>4</v>
      </c>
      <c r="D42" s="64">
        <f>개표집계표B!J43</f>
        <v>4</v>
      </c>
      <c r="E42" s="64">
        <f>개표집계표C!J43</f>
        <v>2</v>
      </c>
      <c r="F42" s="63">
        <f t="shared" si="1"/>
        <v>10</v>
      </c>
    </row>
    <row r="43" spans="1:6" ht="33.75" customHeight="1">
      <c r="A43" s="55">
        <v>40</v>
      </c>
      <c r="B43" s="56" t="s">
        <v>66</v>
      </c>
      <c r="C43" s="59">
        <f>개표집계표A!J44</f>
        <v>0</v>
      </c>
      <c r="D43" s="64">
        <f>개표집계표B!J44</f>
        <v>0</v>
      </c>
      <c r="E43" s="64">
        <f>개표집계표C!J44</f>
        <v>1</v>
      </c>
      <c r="F43" s="63">
        <f t="shared" si="1"/>
        <v>1</v>
      </c>
    </row>
    <row r="44" spans="1:6" ht="33.75" customHeight="1">
      <c r="A44" s="55">
        <v>41</v>
      </c>
      <c r="B44" s="56" t="s">
        <v>67</v>
      </c>
      <c r="C44" s="59">
        <f>개표집계표A!J45</f>
        <v>0</v>
      </c>
      <c r="D44" s="64">
        <f>개표집계표B!J45</f>
        <v>0</v>
      </c>
      <c r="E44" s="64">
        <f>개표집계표C!J45</f>
        <v>0</v>
      </c>
      <c r="F44" s="63">
        <f t="shared" si="1"/>
        <v>0</v>
      </c>
    </row>
    <row r="45" spans="1:6" ht="33.75" customHeight="1">
      <c r="A45" s="55">
        <v>42</v>
      </c>
      <c r="B45" s="56" t="s">
        <v>68</v>
      </c>
      <c r="C45" s="59">
        <f>개표집계표A!J46</f>
        <v>0</v>
      </c>
      <c r="D45" s="64">
        <f>개표집계표B!J46</f>
        <v>1</v>
      </c>
      <c r="E45" s="64">
        <f>개표집계표C!J46</f>
        <v>1</v>
      </c>
      <c r="F45" s="63">
        <f t="shared" ref="F45:F57" si="2">SUM(C45:E45)</f>
        <v>2</v>
      </c>
    </row>
    <row r="46" spans="1:6" ht="33.75" customHeight="1">
      <c r="A46" s="55">
        <v>43</v>
      </c>
      <c r="B46" s="56" t="s">
        <v>69</v>
      </c>
      <c r="C46" s="59">
        <f>개표집계표A!J47</f>
        <v>0</v>
      </c>
      <c r="D46" s="64">
        <f>개표집계표B!J47</f>
        <v>0</v>
      </c>
      <c r="E46" s="64">
        <f>개표집계표C!J47</f>
        <v>1</v>
      </c>
      <c r="F46" s="63">
        <f t="shared" si="2"/>
        <v>1</v>
      </c>
    </row>
    <row r="47" spans="1:6" ht="33.75" customHeight="1">
      <c r="A47" s="55">
        <v>44</v>
      </c>
      <c r="B47" s="56" t="s">
        <v>70</v>
      </c>
      <c r="C47" s="59">
        <f>개표집계표A!J48</f>
        <v>1</v>
      </c>
      <c r="D47" s="64">
        <f>개표집계표B!J48</f>
        <v>0</v>
      </c>
      <c r="E47" s="64">
        <f>개표집계표C!J48</f>
        <v>0</v>
      </c>
      <c r="F47" s="63">
        <f t="shared" si="2"/>
        <v>1</v>
      </c>
    </row>
    <row r="48" spans="1:6" ht="33.75" customHeight="1">
      <c r="A48" s="55">
        <v>45</v>
      </c>
      <c r="B48" s="56" t="s">
        <v>71</v>
      </c>
      <c r="C48" s="59">
        <f>개표집계표A!J49</f>
        <v>0</v>
      </c>
      <c r="D48" s="64">
        <f>개표집계표B!J49</f>
        <v>0</v>
      </c>
      <c r="E48" s="64">
        <f>개표집계표C!J49</f>
        <v>0</v>
      </c>
      <c r="F48" s="63">
        <f t="shared" si="2"/>
        <v>0</v>
      </c>
    </row>
    <row r="49" spans="1:6" ht="33.75" customHeight="1">
      <c r="A49" s="55">
        <v>46</v>
      </c>
      <c r="B49" s="56" t="s">
        <v>72</v>
      </c>
      <c r="C49" s="59">
        <f>개표집계표A!J50</f>
        <v>0</v>
      </c>
      <c r="D49" s="64">
        <f>개표집계표B!J50</f>
        <v>0</v>
      </c>
      <c r="E49" s="64">
        <f>개표집계표C!J50</f>
        <v>0</v>
      </c>
      <c r="F49" s="63">
        <f t="shared" si="2"/>
        <v>0</v>
      </c>
    </row>
    <row r="50" spans="1:6" ht="33.75" customHeight="1">
      <c r="A50" s="55">
        <v>47</v>
      </c>
      <c r="B50" s="56" t="s">
        <v>73</v>
      </c>
      <c r="C50" s="59">
        <f>개표집계표A!J51</f>
        <v>5</v>
      </c>
      <c r="D50" s="64">
        <f>개표집계표B!J51</f>
        <v>3</v>
      </c>
      <c r="E50" s="64">
        <f>개표집계표C!J51</f>
        <v>7</v>
      </c>
      <c r="F50" s="63">
        <f t="shared" si="2"/>
        <v>15</v>
      </c>
    </row>
    <row r="51" spans="1:6" ht="33.75" customHeight="1">
      <c r="A51" s="55">
        <v>48</v>
      </c>
      <c r="B51" s="56"/>
      <c r="C51" s="59">
        <f>개표집계표A!J52</f>
        <v>1</v>
      </c>
      <c r="D51" s="64">
        <f>개표집계표B!J52</f>
        <v>1</v>
      </c>
      <c r="E51" s="64">
        <f>개표집계표C!J52</f>
        <v>1</v>
      </c>
      <c r="F51" s="63">
        <f t="shared" si="2"/>
        <v>3</v>
      </c>
    </row>
    <row r="52" spans="1:6" ht="33.75" customHeight="1">
      <c r="A52" s="55">
        <v>49</v>
      </c>
      <c r="B52" s="56"/>
      <c r="C52" s="59">
        <f>개표집계표A!J53</f>
        <v>1</v>
      </c>
      <c r="D52" s="64">
        <f>개표집계표B!J53</f>
        <v>1</v>
      </c>
      <c r="E52" s="64">
        <f>개표집계표C!J53</f>
        <v>1</v>
      </c>
      <c r="F52" s="63">
        <f t="shared" si="2"/>
        <v>3</v>
      </c>
    </row>
    <row r="53" spans="1:6" ht="33.75" customHeight="1">
      <c r="A53" s="55">
        <v>50</v>
      </c>
      <c r="B53" s="56"/>
      <c r="C53" s="59">
        <f>개표집계표A!J54</f>
        <v>0</v>
      </c>
      <c r="D53" s="64">
        <f>개표집계표B!J54</f>
        <v>1</v>
      </c>
      <c r="E53" s="64">
        <f>개표집계표C!J54</f>
        <v>1</v>
      </c>
      <c r="F53" s="63">
        <f t="shared" si="2"/>
        <v>2</v>
      </c>
    </row>
    <row r="54" spans="1:6" ht="33.75" customHeight="1">
      <c r="A54" s="55">
        <v>51</v>
      </c>
      <c r="B54" s="56"/>
      <c r="C54" s="59">
        <f>개표집계표A!J55</f>
        <v>0</v>
      </c>
      <c r="D54" s="64">
        <f>개표집계표B!J55</f>
        <v>1</v>
      </c>
      <c r="E54" s="64">
        <f>개표집계표C!J55</f>
        <v>1</v>
      </c>
      <c r="F54" s="63">
        <f t="shared" si="2"/>
        <v>2</v>
      </c>
    </row>
    <row r="55" spans="1:6" ht="33.75" customHeight="1">
      <c r="A55" s="55">
        <v>52</v>
      </c>
      <c r="B55" s="56"/>
      <c r="C55" s="59">
        <f>개표집계표A!J56</f>
        <v>0</v>
      </c>
      <c r="D55" s="64">
        <f>개표집계표B!J56</f>
        <v>1</v>
      </c>
      <c r="E55" s="64">
        <f>개표집계표C!J56</f>
        <v>0</v>
      </c>
      <c r="F55" s="63">
        <f t="shared" si="2"/>
        <v>1</v>
      </c>
    </row>
    <row r="56" spans="1:6" ht="33.75" customHeight="1">
      <c r="A56" s="55">
        <v>53</v>
      </c>
      <c r="B56" s="56"/>
      <c r="C56" s="57"/>
      <c r="D56" s="65"/>
      <c r="E56" s="65"/>
      <c r="F56" s="63">
        <f t="shared" si="2"/>
        <v>0</v>
      </c>
    </row>
    <row r="57" spans="1:6" ht="33.75" customHeight="1">
      <c r="A57" s="55">
        <v>54</v>
      </c>
      <c r="B57" s="56"/>
      <c r="C57" s="57"/>
      <c r="D57" s="65"/>
      <c r="E57" s="65"/>
      <c r="F57" s="63">
        <f t="shared" si="2"/>
        <v>0</v>
      </c>
    </row>
    <row r="58" spans="1:6" ht="33.75" customHeight="1">
      <c r="A58" s="55">
        <v>55</v>
      </c>
      <c r="B58" s="56"/>
      <c r="C58" s="57"/>
      <c r="D58" s="65"/>
      <c r="E58" s="65"/>
      <c r="F58" s="63">
        <f t="shared" si="1"/>
        <v>0</v>
      </c>
    </row>
    <row r="59" spans="1:6" ht="33.75" customHeight="1">
      <c r="A59" s="55">
        <v>56</v>
      </c>
      <c r="B59" s="56"/>
      <c r="C59" s="57"/>
      <c r="D59" s="58"/>
      <c r="E59" s="58"/>
      <c r="F59" s="21">
        <f t="shared" si="0"/>
        <v>0</v>
      </c>
    </row>
    <row r="60" spans="1:6" ht="21" thickBot="1">
      <c r="A60" s="48"/>
      <c r="B60" s="51"/>
      <c r="C60" s="52"/>
      <c r="D60" s="49"/>
      <c r="E60" s="50"/>
      <c r="F60" s="54">
        <f>SUM(F4:F59)</f>
        <v>1202</v>
      </c>
    </row>
    <row r="61" spans="1:6" ht="21" thickTop="1">
      <c r="A61" s="47" t="s">
        <v>74</v>
      </c>
      <c r="B61" s="44"/>
      <c r="C61" s="42"/>
      <c r="D61" s="42"/>
      <c r="E61" s="42"/>
      <c r="F61" s="32">
        <f>SUM(C61:E61)</f>
        <v>0</v>
      </c>
    </row>
    <row r="62" spans="1:6" ht="20">
      <c r="A62" s="26" t="s">
        <v>75</v>
      </c>
      <c r="B62" s="45"/>
      <c r="C62" s="43">
        <v>0</v>
      </c>
      <c r="D62" s="20">
        <v>0</v>
      </c>
      <c r="E62" s="20">
        <v>0</v>
      </c>
      <c r="F62" s="21">
        <f>SUM(C62:E62)</f>
        <v>0</v>
      </c>
    </row>
    <row r="63" spans="1:6" ht="21" thickBot="1">
      <c r="A63" s="27" t="s">
        <v>76</v>
      </c>
      <c r="B63" s="46"/>
      <c r="C63" s="53">
        <f>개표집계표A!J67</f>
        <v>108</v>
      </c>
      <c r="D63" s="53">
        <f>개표집계표B!J67</f>
        <v>150</v>
      </c>
      <c r="E63" s="53">
        <f>개표집계표C!J67</f>
        <v>151</v>
      </c>
      <c r="F63" s="24">
        <f>SUM(C63:E63)</f>
        <v>409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ADB4-23F7-4D4A-AADF-33C12C68DA48}">
  <sheetPr codeName="Sheet3"/>
  <dimension ref="A1:L1048576"/>
  <sheetViews>
    <sheetView zoomScale="85" zoomScaleNormal="85" workbookViewId="0">
      <selection activeCell="I16" sqref="I16"/>
    </sheetView>
  </sheetViews>
  <sheetFormatPr baseColWidth="10" defaultColWidth="8.83203125" defaultRowHeight="14"/>
  <cols>
    <col min="2" max="2" width="13.6640625" customWidth="1"/>
    <col min="3" max="5" width="16.5" customWidth="1"/>
    <col min="6" max="6" width="17.5" customWidth="1"/>
    <col min="9" max="9" width="26.33203125" customWidth="1"/>
    <col min="10" max="10" width="14.6640625" customWidth="1"/>
  </cols>
  <sheetData>
    <row r="1" spans="1:10" ht="38.25" customHeight="1">
      <c r="A1" s="91" t="s">
        <v>77</v>
      </c>
      <c r="B1" s="91"/>
      <c r="C1" s="91"/>
      <c r="D1" s="91"/>
      <c r="E1" s="91"/>
      <c r="F1" s="91"/>
      <c r="G1" s="60"/>
      <c r="H1" s="60"/>
      <c r="I1" s="60"/>
      <c r="J1" s="60"/>
    </row>
    <row r="2" spans="1:10" ht="42.75" customHeight="1" thickBot="1">
      <c r="A2" s="60"/>
      <c r="B2" s="60"/>
      <c r="C2" s="60"/>
      <c r="D2" s="60"/>
      <c r="E2" s="92" t="s">
        <v>78</v>
      </c>
      <c r="F2" s="92"/>
      <c r="G2" s="60"/>
      <c r="H2" s="60"/>
      <c r="I2" s="60"/>
      <c r="J2" s="60"/>
    </row>
    <row r="3" spans="1:10" ht="34.5" customHeight="1" thickBot="1">
      <c r="A3" s="33" t="s">
        <v>14</v>
      </c>
      <c r="B3" s="38" t="s">
        <v>79</v>
      </c>
      <c r="C3" s="36">
        <v>1</v>
      </c>
      <c r="D3" s="34">
        <v>2</v>
      </c>
      <c r="E3" s="34">
        <v>3</v>
      </c>
      <c r="F3" s="35" t="s">
        <v>80</v>
      </c>
      <c r="H3" s="93" t="s">
        <v>81</v>
      </c>
      <c r="I3" s="93"/>
      <c r="J3" s="93"/>
    </row>
    <row r="4" spans="1:10" ht="33.75" customHeight="1" thickTop="1">
      <c r="A4" s="40">
        <v>1</v>
      </c>
      <c r="B4" s="44">
        <v>174</v>
      </c>
      <c r="C4" s="42"/>
      <c r="D4" s="41"/>
      <c r="E4" s="41"/>
      <c r="F4" s="32"/>
      <c r="H4" s="59" t="s">
        <v>14</v>
      </c>
      <c r="I4" s="59" t="s">
        <v>82</v>
      </c>
      <c r="J4" s="59" t="s">
        <v>26</v>
      </c>
    </row>
    <row r="5" spans="1:10" ht="33.75" customHeight="1">
      <c r="A5" s="40">
        <v>2</v>
      </c>
      <c r="B5" s="45">
        <v>226</v>
      </c>
      <c r="C5" s="43"/>
      <c r="D5" s="20"/>
      <c r="E5" s="20"/>
      <c r="F5" s="21"/>
      <c r="H5" s="59">
        <v>1</v>
      </c>
      <c r="I5" s="59" t="s">
        <v>83</v>
      </c>
      <c r="J5" s="59">
        <f>COUNTIF(($C$4:$E$207),I5)</f>
        <v>10</v>
      </c>
    </row>
    <row r="6" spans="1:10" ht="33.75" customHeight="1">
      <c r="A6" s="40">
        <v>3</v>
      </c>
      <c r="B6" s="45">
        <v>261</v>
      </c>
      <c r="C6" s="23" t="s">
        <v>41</v>
      </c>
      <c r="D6" s="20" t="s">
        <v>40</v>
      </c>
      <c r="E6" s="20" t="s">
        <v>43</v>
      </c>
      <c r="F6" s="21"/>
      <c r="H6" s="59">
        <v>2</v>
      </c>
      <c r="I6" s="59" t="s">
        <v>84</v>
      </c>
      <c r="J6" s="59">
        <f t="shared" ref="J6:J55" si="0">COUNTIF(($C$4:$E$207),I6)</f>
        <v>1</v>
      </c>
    </row>
    <row r="7" spans="1:10" ht="33.75" customHeight="1">
      <c r="A7" s="40">
        <v>4</v>
      </c>
      <c r="B7" s="45">
        <v>121</v>
      </c>
      <c r="C7" s="23" t="s">
        <v>57</v>
      </c>
      <c r="D7" s="20" t="s">
        <v>43</v>
      </c>
      <c r="E7" s="20" t="s">
        <v>33</v>
      </c>
      <c r="F7" s="21"/>
      <c r="H7" s="59">
        <v>3</v>
      </c>
      <c r="I7" s="59" t="s">
        <v>85</v>
      </c>
      <c r="J7" s="59">
        <f t="shared" si="0"/>
        <v>9</v>
      </c>
    </row>
    <row r="8" spans="1:10" ht="33.75" customHeight="1">
      <c r="A8" s="40">
        <v>5</v>
      </c>
      <c r="B8" s="45">
        <v>64</v>
      </c>
      <c r="C8" s="43" t="s">
        <v>57</v>
      </c>
      <c r="D8" s="20" t="s">
        <v>35</v>
      </c>
      <c r="E8" s="20" t="s">
        <v>33</v>
      </c>
      <c r="F8" s="21"/>
      <c r="H8" s="59">
        <v>4</v>
      </c>
      <c r="I8" s="59" t="s">
        <v>86</v>
      </c>
      <c r="J8" s="59">
        <f t="shared" si="0"/>
        <v>1</v>
      </c>
    </row>
    <row r="9" spans="1:10" ht="33.75" customHeight="1">
      <c r="A9" s="40">
        <v>6</v>
      </c>
      <c r="B9" s="45">
        <v>47</v>
      </c>
      <c r="C9" s="57" t="s">
        <v>27</v>
      </c>
      <c r="D9" s="58" t="s">
        <v>33</v>
      </c>
      <c r="E9" s="58" t="s">
        <v>59</v>
      </c>
      <c r="F9" s="21"/>
      <c r="H9" s="59">
        <v>5</v>
      </c>
      <c r="I9" s="59" t="s">
        <v>87</v>
      </c>
      <c r="J9" s="59">
        <f t="shared" si="0"/>
        <v>3</v>
      </c>
    </row>
    <row r="10" spans="1:10" ht="33.75" customHeight="1">
      <c r="A10" s="40">
        <v>7</v>
      </c>
      <c r="B10" s="45">
        <v>402</v>
      </c>
      <c r="C10" s="57" t="s">
        <v>27</v>
      </c>
      <c r="D10" s="58" t="s">
        <v>31</v>
      </c>
      <c r="E10" s="58" t="s">
        <v>33</v>
      </c>
      <c r="F10" s="21"/>
      <c r="H10" s="59">
        <v>6</v>
      </c>
      <c r="I10" s="59" t="s">
        <v>88</v>
      </c>
      <c r="J10" s="59">
        <f t="shared" si="0"/>
        <v>1</v>
      </c>
    </row>
    <row r="11" spans="1:10" ht="33.75" customHeight="1">
      <c r="A11" s="40">
        <v>8</v>
      </c>
      <c r="B11" s="45">
        <v>124</v>
      </c>
      <c r="C11" s="57" t="s">
        <v>35</v>
      </c>
      <c r="D11" s="58" t="s">
        <v>33</v>
      </c>
      <c r="E11" s="58" t="s">
        <v>57</v>
      </c>
      <c r="F11" s="21"/>
      <c r="H11" s="59">
        <v>7</v>
      </c>
      <c r="I11" s="59" t="s">
        <v>89</v>
      </c>
      <c r="J11" s="59">
        <f t="shared" si="0"/>
        <v>46</v>
      </c>
    </row>
    <row r="12" spans="1:10" ht="33.75" customHeight="1">
      <c r="A12" s="40">
        <v>9</v>
      </c>
      <c r="B12" s="45">
        <v>49</v>
      </c>
      <c r="C12" s="43" t="s">
        <v>33</v>
      </c>
      <c r="D12" s="58" t="s">
        <v>32</v>
      </c>
      <c r="E12" s="58" t="s">
        <v>41</v>
      </c>
      <c r="F12" s="21"/>
      <c r="H12" s="59">
        <v>8</v>
      </c>
      <c r="I12" s="59" t="s">
        <v>90</v>
      </c>
      <c r="J12" s="59">
        <f t="shared" si="0"/>
        <v>1</v>
      </c>
    </row>
    <row r="13" spans="1:10" ht="33.75" customHeight="1">
      <c r="A13" s="40">
        <v>10</v>
      </c>
      <c r="B13" s="45">
        <v>53</v>
      </c>
      <c r="C13" s="43" t="s">
        <v>57</v>
      </c>
      <c r="D13" s="58" t="s">
        <v>35</v>
      </c>
      <c r="E13" s="58" t="s">
        <v>49</v>
      </c>
      <c r="F13" s="21"/>
      <c r="H13" s="59">
        <v>9</v>
      </c>
      <c r="I13" s="59" t="s">
        <v>91</v>
      </c>
      <c r="J13" s="59">
        <f t="shared" si="0"/>
        <v>53</v>
      </c>
    </row>
    <row r="14" spans="1:10" ht="33.75" customHeight="1">
      <c r="A14" s="40">
        <v>11</v>
      </c>
      <c r="B14" s="45">
        <v>242</v>
      </c>
      <c r="C14" s="43" t="s">
        <v>33</v>
      </c>
      <c r="D14" s="58" t="s">
        <v>27</v>
      </c>
      <c r="E14" s="58" t="s">
        <v>31</v>
      </c>
      <c r="F14" s="21"/>
      <c r="H14" s="59">
        <v>10</v>
      </c>
      <c r="I14" s="59" t="s">
        <v>92</v>
      </c>
      <c r="J14" s="59">
        <f t="shared" si="0"/>
        <v>2</v>
      </c>
    </row>
    <row r="15" spans="1:10" ht="33.75" customHeight="1">
      <c r="A15" s="40">
        <v>12</v>
      </c>
      <c r="B15" s="45">
        <v>251</v>
      </c>
      <c r="C15" s="43" t="s">
        <v>46</v>
      </c>
      <c r="D15" s="58" t="s">
        <v>35</v>
      </c>
      <c r="E15" s="58" t="s">
        <v>33</v>
      </c>
      <c r="F15" s="21"/>
      <c r="H15" s="59">
        <v>11</v>
      </c>
      <c r="I15" s="59" t="s">
        <v>142</v>
      </c>
      <c r="J15" s="59">
        <f t="shared" si="0"/>
        <v>0</v>
      </c>
    </row>
    <row r="16" spans="1:10" ht="33.75" customHeight="1">
      <c r="A16" s="40">
        <v>13</v>
      </c>
      <c r="B16" s="45">
        <v>241</v>
      </c>
      <c r="C16" s="43" t="s">
        <v>33</v>
      </c>
      <c r="D16" s="58"/>
      <c r="E16" s="58"/>
      <c r="F16" s="21"/>
      <c r="H16" s="59">
        <v>12</v>
      </c>
      <c r="I16" s="59" t="s">
        <v>93</v>
      </c>
      <c r="J16" s="59">
        <f t="shared" si="0"/>
        <v>18</v>
      </c>
    </row>
    <row r="17" spans="1:10" ht="33.75" customHeight="1">
      <c r="A17" s="40">
        <v>14</v>
      </c>
      <c r="B17" s="45">
        <v>145</v>
      </c>
      <c r="C17" s="43" t="s">
        <v>35</v>
      </c>
      <c r="D17" s="58" t="s">
        <v>40</v>
      </c>
      <c r="E17" s="58" t="s">
        <v>43</v>
      </c>
      <c r="F17" s="21"/>
      <c r="H17" s="59">
        <v>13</v>
      </c>
      <c r="I17" s="59" t="s">
        <v>94</v>
      </c>
      <c r="J17" s="59">
        <f t="shared" si="0"/>
        <v>0</v>
      </c>
    </row>
    <row r="18" spans="1:10" ht="33.75" customHeight="1">
      <c r="A18" s="40">
        <v>15</v>
      </c>
      <c r="B18" s="45">
        <v>68</v>
      </c>
      <c r="C18" s="43" t="s">
        <v>43</v>
      </c>
      <c r="D18" s="58" t="s">
        <v>35</v>
      </c>
      <c r="E18" s="58" t="s">
        <v>50</v>
      </c>
      <c r="F18" s="21"/>
      <c r="H18" s="59">
        <v>14</v>
      </c>
      <c r="I18" s="59" t="s">
        <v>95</v>
      </c>
      <c r="J18" s="59">
        <f t="shared" si="0"/>
        <v>19</v>
      </c>
    </row>
    <row r="19" spans="1:10" ht="33.75" customHeight="1">
      <c r="A19" s="40">
        <v>16</v>
      </c>
      <c r="B19" s="45">
        <v>449</v>
      </c>
      <c r="C19" s="43" t="s">
        <v>27</v>
      </c>
      <c r="D19" s="58" t="s">
        <v>28</v>
      </c>
      <c r="E19" s="58" t="s">
        <v>29</v>
      </c>
      <c r="F19" s="21"/>
      <c r="H19" s="59">
        <v>15</v>
      </c>
      <c r="I19" s="59" t="s">
        <v>96</v>
      </c>
      <c r="J19" s="59">
        <f t="shared" si="0"/>
        <v>6</v>
      </c>
    </row>
    <row r="20" spans="1:10" ht="33.75" customHeight="1">
      <c r="A20" s="40">
        <v>17</v>
      </c>
      <c r="B20" s="45">
        <v>149</v>
      </c>
      <c r="C20" s="43" t="s">
        <v>35</v>
      </c>
      <c r="D20" s="58" t="s">
        <v>57</v>
      </c>
      <c r="E20" s="58" t="s">
        <v>52</v>
      </c>
      <c r="F20" s="21"/>
      <c r="H20" s="59">
        <v>16</v>
      </c>
      <c r="I20" s="59" t="s">
        <v>97</v>
      </c>
      <c r="J20" s="59">
        <f t="shared" si="0"/>
        <v>4</v>
      </c>
    </row>
    <row r="21" spans="1:10" ht="33.75" customHeight="1">
      <c r="A21" s="40">
        <v>18</v>
      </c>
      <c r="B21" s="45">
        <v>80</v>
      </c>
      <c r="C21" s="43" t="s">
        <v>57</v>
      </c>
      <c r="D21" s="58" t="s">
        <v>35</v>
      </c>
      <c r="E21" s="58" t="s">
        <v>43</v>
      </c>
      <c r="F21" s="21"/>
      <c r="H21" s="59">
        <v>17</v>
      </c>
      <c r="I21" s="59" t="s">
        <v>98</v>
      </c>
      <c r="J21" s="59">
        <f t="shared" si="0"/>
        <v>30</v>
      </c>
    </row>
    <row r="22" spans="1:10" ht="33.75" customHeight="1">
      <c r="A22" s="40">
        <v>19</v>
      </c>
      <c r="B22" s="45">
        <v>277</v>
      </c>
      <c r="C22" s="43" t="s">
        <v>35</v>
      </c>
      <c r="D22" s="58" t="s">
        <v>50</v>
      </c>
      <c r="E22" s="58" t="s">
        <v>43</v>
      </c>
      <c r="F22" s="21"/>
      <c r="H22" s="59">
        <v>18</v>
      </c>
      <c r="I22" s="59" t="s">
        <v>99</v>
      </c>
      <c r="J22" s="59">
        <f t="shared" si="0"/>
        <v>0</v>
      </c>
    </row>
    <row r="23" spans="1:10" ht="33.75" customHeight="1">
      <c r="A23" s="40">
        <v>20</v>
      </c>
      <c r="B23" s="45">
        <v>177</v>
      </c>
      <c r="C23" s="43" t="s">
        <v>57</v>
      </c>
      <c r="D23" s="58" t="s">
        <v>43</v>
      </c>
      <c r="E23" s="58" t="s">
        <v>29</v>
      </c>
      <c r="F23" s="21"/>
      <c r="H23" s="59">
        <v>19</v>
      </c>
      <c r="I23" s="59" t="s">
        <v>100</v>
      </c>
      <c r="J23" s="59">
        <f t="shared" si="0"/>
        <v>0</v>
      </c>
    </row>
    <row r="24" spans="1:10" ht="33.75" customHeight="1">
      <c r="A24" s="40">
        <v>21</v>
      </c>
      <c r="B24" s="45">
        <v>274</v>
      </c>
      <c r="C24" s="43" t="s">
        <v>27</v>
      </c>
      <c r="D24" s="58" t="s">
        <v>33</v>
      </c>
      <c r="E24" s="58" t="s">
        <v>35</v>
      </c>
      <c r="F24" s="21"/>
      <c r="H24" s="59">
        <v>20</v>
      </c>
      <c r="I24" s="59" t="s">
        <v>101</v>
      </c>
      <c r="J24" s="59">
        <f t="shared" si="0"/>
        <v>8</v>
      </c>
    </row>
    <row r="25" spans="1:10" ht="33.75" customHeight="1">
      <c r="A25" s="40">
        <v>22</v>
      </c>
      <c r="B25" s="45">
        <v>141</v>
      </c>
      <c r="C25" s="43" t="s">
        <v>35</v>
      </c>
      <c r="D25" s="58" t="s">
        <v>57</v>
      </c>
      <c r="E25" s="58" t="s">
        <v>33</v>
      </c>
      <c r="F25" s="21"/>
      <c r="H25" s="59">
        <v>21</v>
      </c>
      <c r="I25" s="59" t="s">
        <v>102</v>
      </c>
      <c r="J25" s="59">
        <f t="shared" si="0"/>
        <v>0</v>
      </c>
    </row>
    <row r="26" spans="1:10" ht="33.75" customHeight="1">
      <c r="A26" s="40">
        <v>23</v>
      </c>
      <c r="B26" s="45">
        <v>410</v>
      </c>
      <c r="C26" s="43" t="s">
        <v>35</v>
      </c>
      <c r="D26" s="58" t="s">
        <v>65</v>
      </c>
      <c r="E26" s="58" t="s">
        <v>70</v>
      </c>
      <c r="F26" s="21"/>
      <c r="H26" s="59">
        <v>22</v>
      </c>
      <c r="I26" s="59" t="s">
        <v>103</v>
      </c>
      <c r="J26" s="59">
        <f t="shared" si="0"/>
        <v>0</v>
      </c>
    </row>
    <row r="27" spans="1:10" ht="33.75" customHeight="1">
      <c r="A27" s="40">
        <v>24</v>
      </c>
      <c r="B27" s="45">
        <v>287</v>
      </c>
      <c r="C27" s="43" t="s">
        <v>40</v>
      </c>
      <c r="D27" s="58" t="s">
        <v>38</v>
      </c>
      <c r="E27" s="58" t="s">
        <v>43</v>
      </c>
      <c r="F27" s="21"/>
      <c r="H27" s="59">
        <v>23</v>
      </c>
      <c r="I27" s="59" t="s">
        <v>104</v>
      </c>
      <c r="J27" s="59">
        <f t="shared" si="0"/>
        <v>16</v>
      </c>
    </row>
    <row r="28" spans="1:10" ht="33.75" customHeight="1">
      <c r="A28" s="40">
        <v>25</v>
      </c>
      <c r="B28" s="45">
        <v>295</v>
      </c>
      <c r="C28" s="43" t="s">
        <v>35</v>
      </c>
      <c r="D28" s="58" t="s">
        <v>43</v>
      </c>
      <c r="E28" s="58" t="s">
        <v>40</v>
      </c>
      <c r="F28" s="21"/>
      <c r="H28" s="59">
        <v>24</v>
      </c>
      <c r="I28" s="59" t="s">
        <v>105</v>
      </c>
      <c r="J28" s="59">
        <f t="shared" si="0"/>
        <v>3</v>
      </c>
    </row>
    <row r="29" spans="1:10" ht="33.75" customHeight="1">
      <c r="A29" s="40">
        <v>26</v>
      </c>
      <c r="B29" s="45">
        <v>297</v>
      </c>
      <c r="C29" s="43" t="s">
        <v>35</v>
      </c>
      <c r="D29" s="58" t="s">
        <v>38</v>
      </c>
      <c r="E29" s="58" t="s">
        <v>43</v>
      </c>
      <c r="F29" s="21"/>
      <c r="H29" s="59">
        <v>25</v>
      </c>
      <c r="I29" s="59" t="s">
        <v>106</v>
      </c>
      <c r="J29" s="59">
        <f t="shared" si="0"/>
        <v>3</v>
      </c>
    </row>
    <row r="30" spans="1:10" ht="33.75" customHeight="1">
      <c r="A30" s="40">
        <v>27</v>
      </c>
      <c r="B30" s="45">
        <v>83</v>
      </c>
      <c r="C30" s="43" t="s">
        <v>33</v>
      </c>
      <c r="D30" s="58" t="s">
        <v>35</v>
      </c>
      <c r="E30" s="58" t="s">
        <v>57</v>
      </c>
      <c r="F30" s="21"/>
      <c r="H30" s="59">
        <v>26</v>
      </c>
      <c r="I30" s="59" t="s">
        <v>107</v>
      </c>
      <c r="J30" s="59">
        <f t="shared" si="0"/>
        <v>5</v>
      </c>
    </row>
    <row r="31" spans="1:10" ht="33.75" customHeight="1">
      <c r="A31" s="40">
        <v>28</v>
      </c>
      <c r="B31" s="45">
        <v>97</v>
      </c>
      <c r="C31" s="43" t="s">
        <v>29</v>
      </c>
      <c r="D31" s="58" t="s">
        <v>34</v>
      </c>
      <c r="E31" s="58" t="s">
        <v>35</v>
      </c>
      <c r="F31" s="21"/>
      <c r="H31" s="59">
        <v>27</v>
      </c>
      <c r="I31" s="59" t="s">
        <v>108</v>
      </c>
      <c r="J31" s="59">
        <f t="shared" si="0"/>
        <v>0</v>
      </c>
    </row>
    <row r="32" spans="1:10" ht="33.75" customHeight="1">
      <c r="A32" s="40">
        <v>29</v>
      </c>
      <c r="B32" s="45">
        <v>171</v>
      </c>
      <c r="C32" s="43" t="s">
        <v>57</v>
      </c>
      <c r="D32" s="58" t="s">
        <v>35</v>
      </c>
      <c r="E32" s="58" t="s">
        <v>33</v>
      </c>
      <c r="F32" s="21"/>
      <c r="H32" s="59">
        <v>28</v>
      </c>
      <c r="I32" s="59" t="s">
        <v>109</v>
      </c>
      <c r="J32" s="59">
        <f t="shared" si="0"/>
        <v>0</v>
      </c>
    </row>
    <row r="33" spans="1:10" ht="33.75" customHeight="1">
      <c r="A33" s="40">
        <v>30</v>
      </c>
      <c r="B33" s="45">
        <v>317</v>
      </c>
      <c r="C33" s="43" t="s">
        <v>33</v>
      </c>
      <c r="D33" s="58" t="s">
        <v>41</v>
      </c>
      <c r="E33" s="58" t="s">
        <v>51</v>
      </c>
      <c r="F33" s="21"/>
      <c r="H33" s="59">
        <v>29</v>
      </c>
      <c r="I33" s="59" t="s">
        <v>110</v>
      </c>
      <c r="J33" s="59">
        <f t="shared" si="0"/>
        <v>0</v>
      </c>
    </row>
    <row r="34" spans="1:10" ht="33.75" customHeight="1">
      <c r="A34" s="40">
        <v>31</v>
      </c>
      <c r="B34" s="45">
        <v>348</v>
      </c>
      <c r="C34" s="43" t="s">
        <v>57</v>
      </c>
      <c r="D34" s="58" t="s">
        <v>33</v>
      </c>
      <c r="E34" s="58" t="s">
        <v>35</v>
      </c>
      <c r="F34" s="21"/>
      <c r="H34" s="59">
        <v>30</v>
      </c>
      <c r="I34" s="59" t="s">
        <v>111</v>
      </c>
      <c r="J34" s="59">
        <f t="shared" si="0"/>
        <v>0</v>
      </c>
    </row>
    <row r="35" spans="1:10" ht="33.75" customHeight="1">
      <c r="A35" s="40">
        <v>32</v>
      </c>
      <c r="B35" s="45">
        <v>176</v>
      </c>
      <c r="C35" s="43" t="s">
        <v>43</v>
      </c>
      <c r="D35" s="58" t="s">
        <v>35</v>
      </c>
      <c r="E35" s="58" t="s">
        <v>52</v>
      </c>
      <c r="F35" s="21"/>
      <c r="H35" s="59">
        <v>31</v>
      </c>
      <c r="I35" s="59" t="s">
        <v>112</v>
      </c>
      <c r="J35" s="59">
        <f t="shared" si="0"/>
        <v>48</v>
      </c>
    </row>
    <row r="36" spans="1:10" ht="33.75" customHeight="1">
      <c r="A36" s="40">
        <v>33</v>
      </c>
      <c r="B36" s="45">
        <v>311</v>
      </c>
      <c r="C36" s="43" t="s">
        <v>35</v>
      </c>
      <c r="D36" s="58" t="s">
        <v>33</v>
      </c>
      <c r="E36" s="58" t="s">
        <v>59</v>
      </c>
      <c r="F36" s="21"/>
      <c r="H36" s="59">
        <v>32</v>
      </c>
      <c r="I36" s="59" t="s">
        <v>113</v>
      </c>
      <c r="J36" s="59">
        <f t="shared" si="0"/>
        <v>1</v>
      </c>
    </row>
    <row r="37" spans="1:10" ht="33.75" customHeight="1">
      <c r="A37" s="40">
        <v>34</v>
      </c>
      <c r="B37" s="45">
        <v>211</v>
      </c>
      <c r="C37" s="43" t="s">
        <v>33</v>
      </c>
      <c r="D37" s="58" t="s">
        <v>52</v>
      </c>
      <c r="E37" s="58" t="s">
        <v>40</v>
      </c>
      <c r="F37" s="21"/>
      <c r="H37" s="59">
        <v>33</v>
      </c>
      <c r="I37" s="59" t="s">
        <v>114</v>
      </c>
      <c r="J37" s="59">
        <f t="shared" si="0"/>
        <v>9</v>
      </c>
    </row>
    <row r="38" spans="1:10" ht="33.75" customHeight="1">
      <c r="A38" s="40">
        <v>35</v>
      </c>
      <c r="B38" s="45">
        <v>406</v>
      </c>
      <c r="C38" s="43" t="s">
        <v>40</v>
      </c>
      <c r="D38" s="58" t="s">
        <v>43</v>
      </c>
      <c r="E38" s="58" t="s">
        <v>57</v>
      </c>
      <c r="F38" s="21"/>
      <c r="H38" s="59">
        <v>34</v>
      </c>
      <c r="I38" s="59" t="s">
        <v>115</v>
      </c>
      <c r="J38" s="59">
        <f t="shared" si="0"/>
        <v>1</v>
      </c>
    </row>
    <row r="39" spans="1:10" ht="33.75" customHeight="1">
      <c r="A39" s="40">
        <v>36</v>
      </c>
      <c r="B39" s="45">
        <v>94</v>
      </c>
      <c r="C39" s="43" t="s">
        <v>33</v>
      </c>
      <c r="D39" s="58" t="s">
        <v>46</v>
      </c>
      <c r="E39" s="58" t="s">
        <v>40</v>
      </c>
      <c r="F39" s="21"/>
      <c r="H39" s="59">
        <v>35</v>
      </c>
      <c r="I39" s="59" t="s">
        <v>116</v>
      </c>
      <c r="J39" s="59">
        <f t="shared" si="0"/>
        <v>0</v>
      </c>
    </row>
    <row r="40" spans="1:10" ht="33.75" customHeight="1">
      <c r="A40" s="40">
        <v>37</v>
      </c>
      <c r="B40" s="45">
        <v>230</v>
      </c>
      <c r="C40" s="43" t="s">
        <v>33</v>
      </c>
      <c r="D40" s="58" t="s">
        <v>57</v>
      </c>
      <c r="E40" s="58" t="s">
        <v>52</v>
      </c>
      <c r="F40" s="21"/>
      <c r="H40" s="59">
        <v>36</v>
      </c>
      <c r="I40" s="59" t="s">
        <v>117</v>
      </c>
      <c r="J40" s="59">
        <f t="shared" si="0"/>
        <v>0</v>
      </c>
    </row>
    <row r="41" spans="1:10" ht="33.75" customHeight="1">
      <c r="A41" s="40">
        <v>38</v>
      </c>
      <c r="B41" s="45">
        <v>99</v>
      </c>
      <c r="C41" s="43" t="s">
        <v>73</v>
      </c>
      <c r="D41" s="58" t="s">
        <v>43</v>
      </c>
      <c r="E41" s="58" t="s">
        <v>59</v>
      </c>
      <c r="F41" s="21"/>
      <c r="H41" s="59">
        <v>37</v>
      </c>
      <c r="I41" s="59" t="s">
        <v>118</v>
      </c>
      <c r="J41" s="59">
        <f t="shared" si="0"/>
        <v>0</v>
      </c>
    </row>
    <row r="42" spans="1:10" ht="33.75" customHeight="1">
      <c r="A42" s="40">
        <v>39</v>
      </c>
      <c r="B42" s="45">
        <v>128</v>
      </c>
      <c r="C42" s="43" t="s">
        <v>43</v>
      </c>
      <c r="D42" s="58" t="s">
        <v>33</v>
      </c>
      <c r="E42" s="58" t="s">
        <v>35</v>
      </c>
      <c r="F42" s="21"/>
      <c r="H42" s="59">
        <v>38</v>
      </c>
      <c r="I42" s="59" t="s">
        <v>119</v>
      </c>
      <c r="J42" s="59">
        <f t="shared" si="0"/>
        <v>0</v>
      </c>
    </row>
    <row r="43" spans="1:10" ht="33.75" customHeight="1">
      <c r="A43" s="40">
        <v>40</v>
      </c>
      <c r="B43" s="45">
        <v>229</v>
      </c>
      <c r="C43" s="43" t="s">
        <v>43</v>
      </c>
      <c r="D43" s="58" t="s">
        <v>40</v>
      </c>
      <c r="E43" s="58" t="s">
        <v>59</v>
      </c>
      <c r="F43" s="21"/>
      <c r="H43" s="59">
        <v>39</v>
      </c>
      <c r="I43" s="59" t="s">
        <v>120</v>
      </c>
      <c r="J43" s="59">
        <f t="shared" si="0"/>
        <v>4</v>
      </c>
    </row>
    <row r="44" spans="1:10" ht="33.75" customHeight="1">
      <c r="A44" s="40">
        <v>41</v>
      </c>
      <c r="B44" s="45">
        <v>231</v>
      </c>
      <c r="C44" s="43" t="s">
        <v>57</v>
      </c>
      <c r="D44" s="58" t="s">
        <v>33</v>
      </c>
      <c r="E44" s="58" t="s">
        <v>49</v>
      </c>
      <c r="F44" s="21"/>
      <c r="H44" s="59">
        <v>40</v>
      </c>
      <c r="I44" s="59" t="s">
        <v>121</v>
      </c>
      <c r="J44" s="59">
        <f t="shared" si="0"/>
        <v>0</v>
      </c>
    </row>
    <row r="45" spans="1:10" ht="33.75" customHeight="1">
      <c r="A45" s="40">
        <v>42</v>
      </c>
      <c r="B45" s="45">
        <v>419</v>
      </c>
      <c r="C45" s="43" t="s">
        <v>35</v>
      </c>
      <c r="D45" s="58" t="s">
        <v>33</v>
      </c>
      <c r="E45" s="58" t="s">
        <v>38</v>
      </c>
      <c r="F45" s="21"/>
      <c r="H45" s="59">
        <v>41</v>
      </c>
      <c r="I45" s="59" t="s">
        <v>122</v>
      </c>
      <c r="J45" s="59">
        <f t="shared" si="0"/>
        <v>0</v>
      </c>
    </row>
    <row r="46" spans="1:10" ht="33.75" customHeight="1">
      <c r="A46" s="40">
        <v>43</v>
      </c>
      <c r="B46" s="45">
        <v>41</v>
      </c>
      <c r="C46" s="43" t="s">
        <v>57</v>
      </c>
      <c r="D46" s="58" t="s">
        <v>33</v>
      </c>
      <c r="E46" s="58"/>
      <c r="F46" s="21"/>
      <c r="H46" s="59">
        <v>42</v>
      </c>
      <c r="I46" s="59" t="s">
        <v>123</v>
      </c>
      <c r="J46" s="59">
        <f t="shared" si="0"/>
        <v>0</v>
      </c>
    </row>
    <row r="47" spans="1:10" ht="33.75" customHeight="1">
      <c r="A47" s="40">
        <v>44</v>
      </c>
      <c r="B47" s="45">
        <v>7</v>
      </c>
      <c r="C47" s="43" t="s">
        <v>33</v>
      </c>
      <c r="D47" s="58" t="s">
        <v>35</v>
      </c>
      <c r="E47" s="58" t="s">
        <v>57</v>
      </c>
      <c r="F47" s="21"/>
      <c r="H47" s="59">
        <v>43</v>
      </c>
      <c r="I47" s="59" t="s">
        <v>124</v>
      </c>
      <c r="J47" s="59">
        <f t="shared" si="0"/>
        <v>0</v>
      </c>
    </row>
    <row r="48" spans="1:10" ht="33.75" customHeight="1">
      <c r="A48" s="40">
        <v>45</v>
      </c>
      <c r="B48" s="45">
        <v>23</v>
      </c>
      <c r="C48" s="43" t="s">
        <v>57</v>
      </c>
      <c r="D48" s="58" t="s">
        <v>33</v>
      </c>
      <c r="E48" s="58" t="s">
        <v>38</v>
      </c>
      <c r="F48" s="21"/>
      <c r="H48" s="59">
        <v>44</v>
      </c>
      <c r="I48" s="59" t="s">
        <v>125</v>
      </c>
      <c r="J48" s="59">
        <f t="shared" si="0"/>
        <v>1</v>
      </c>
    </row>
    <row r="49" spans="1:12" ht="33.75" customHeight="1">
      <c r="A49" s="40">
        <v>46</v>
      </c>
      <c r="B49" s="45">
        <v>39</v>
      </c>
      <c r="C49" s="43" t="s">
        <v>33</v>
      </c>
      <c r="D49" s="58" t="s">
        <v>35</v>
      </c>
      <c r="E49" s="58" t="s">
        <v>29</v>
      </c>
      <c r="F49" s="21"/>
      <c r="H49" s="59">
        <v>45</v>
      </c>
      <c r="I49" s="59" t="s">
        <v>126</v>
      </c>
      <c r="J49" s="59">
        <f t="shared" si="0"/>
        <v>0</v>
      </c>
    </row>
    <row r="50" spans="1:12" ht="33.75" customHeight="1">
      <c r="A50" s="40">
        <v>47</v>
      </c>
      <c r="B50" s="45">
        <v>8</v>
      </c>
      <c r="C50" s="43" t="s">
        <v>35</v>
      </c>
      <c r="D50" s="58" t="s">
        <v>38</v>
      </c>
      <c r="E50" s="58" t="s">
        <v>40</v>
      </c>
      <c r="F50" s="21"/>
      <c r="H50" s="59">
        <v>46</v>
      </c>
      <c r="I50" s="59" t="s">
        <v>127</v>
      </c>
      <c r="J50" s="59">
        <f t="shared" si="0"/>
        <v>0</v>
      </c>
    </row>
    <row r="51" spans="1:12" ht="33.75" customHeight="1">
      <c r="A51" s="40">
        <v>48</v>
      </c>
      <c r="B51" s="45">
        <v>228</v>
      </c>
      <c r="C51" s="43" t="s">
        <v>49</v>
      </c>
      <c r="D51" s="58" t="s">
        <v>33</v>
      </c>
      <c r="E51" s="58" t="s">
        <v>42</v>
      </c>
      <c r="F51" s="21"/>
      <c r="H51" s="59">
        <v>47</v>
      </c>
      <c r="I51" s="59" t="s">
        <v>128</v>
      </c>
      <c r="J51" s="59">
        <f t="shared" si="0"/>
        <v>5</v>
      </c>
    </row>
    <row r="52" spans="1:12" ht="33.75" customHeight="1">
      <c r="A52" s="40">
        <v>49</v>
      </c>
      <c r="B52" s="45">
        <v>30</v>
      </c>
      <c r="C52" s="43" t="s">
        <v>35</v>
      </c>
      <c r="D52" s="58"/>
      <c r="E52" s="58"/>
      <c r="F52" s="21"/>
      <c r="H52" s="59">
        <v>48</v>
      </c>
      <c r="I52" s="59" t="s">
        <v>146</v>
      </c>
      <c r="J52" s="59">
        <f t="shared" si="0"/>
        <v>1</v>
      </c>
      <c r="L52">
        <f>SUM(J5:J52)+14</f>
        <v>323</v>
      </c>
    </row>
    <row r="53" spans="1:12" ht="33.75" customHeight="1">
      <c r="A53" s="40">
        <v>50</v>
      </c>
      <c r="B53" s="45">
        <v>18</v>
      </c>
      <c r="C53" s="43" t="s">
        <v>57</v>
      </c>
      <c r="D53" s="58" t="s">
        <v>38</v>
      </c>
      <c r="E53" s="58" t="s">
        <v>33</v>
      </c>
      <c r="F53" s="21"/>
      <c r="H53" s="59">
        <v>49</v>
      </c>
      <c r="I53" s="59" t="s">
        <v>144</v>
      </c>
      <c r="J53" s="59">
        <f t="shared" si="0"/>
        <v>1</v>
      </c>
    </row>
    <row r="54" spans="1:12" ht="33.75" customHeight="1">
      <c r="A54" s="40">
        <v>51</v>
      </c>
      <c r="B54" s="45">
        <v>446</v>
      </c>
      <c r="C54" s="43" t="s">
        <v>35</v>
      </c>
      <c r="D54" s="58" t="s">
        <v>43</v>
      </c>
      <c r="E54" s="58" t="s">
        <v>40</v>
      </c>
      <c r="F54" s="21"/>
      <c r="H54" s="59">
        <v>50</v>
      </c>
      <c r="I54" s="59"/>
      <c r="J54" s="59">
        <f t="shared" si="0"/>
        <v>0</v>
      </c>
    </row>
    <row r="55" spans="1:12" ht="33.75" customHeight="1">
      <c r="A55" s="40">
        <v>52</v>
      </c>
      <c r="B55" s="45">
        <v>29</v>
      </c>
      <c r="C55" s="43" t="s">
        <v>36</v>
      </c>
      <c r="D55" s="58" t="s">
        <v>38</v>
      </c>
      <c r="E55" s="58" t="s">
        <v>49</v>
      </c>
      <c r="F55" s="21"/>
      <c r="H55" s="59">
        <v>51</v>
      </c>
      <c r="I55" s="59"/>
      <c r="J55" s="59">
        <f t="shared" si="0"/>
        <v>0</v>
      </c>
    </row>
    <row r="56" spans="1:12" ht="33.75" customHeight="1">
      <c r="A56" s="40">
        <v>53</v>
      </c>
      <c r="B56" s="45">
        <v>109</v>
      </c>
      <c r="C56" s="43" t="s">
        <v>49</v>
      </c>
      <c r="D56" s="58" t="s">
        <v>38</v>
      </c>
      <c r="E56" s="58" t="s">
        <v>43</v>
      </c>
      <c r="F56" s="21"/>
      <c r="H56" s="59">
        <v>52</v>
      </c>
      <c r="I56" s="59"/>
      <c r="J56" s="59">
        <f>COUNTIF(($C$4:$E$207),I56)</f>
        <v>0</v>
      </c>
    </row>
    <row r="57" spans="1:12" ht="33.75" customHeight="1">
      <c r="A57" s="40">
        <v>54</v>
      </c>
      <c r="B57" s="45">
        <v>36</v>
      </c>
      <c r="C57" s="43" t="s">
        <v>33</v>
      </c>
      <c r="D57" s="58" t="s">
        <v>57</v>
      </c>
      <c r="E57" s="58" t="s">
        <v>35</v>
      </c>
      <c r="F57" s="21"/>
      <c r="H57" s="59">
        <v>53</v>
      </c>
      <c r="I57" s="59"/>
      <c r="J57" s="59">
        <f>COUNTIF(($C$4:$E$207),I57)</f>
        <v>0</v>
      </c>
    </row>
    <row r="58" spans="1:12" ht="33.75" customHeight="1">
      <c r="A58" s="40">
        <v>55</v>
      </c>
      <c r="B58" s="45">
        <v>117</v>
      </c>
      <c r="C58" s="43" t="s">
        <v>35</v>
      </c>
      <c r="D58" s="58" t="s">
        <v>33</v>
      </c>
      <c r="E58" s="58" t="s">
        <v>57</v>
      </c>
      <c r="F58" s="21"/>
      <c r="H58" s="59">
        <v>54</v>
      </c>
      <c r="I58" s="59"/>
      <c r="J58" s="59">
        <f>COUNTIF(($C$4:$E$207),I58)</f>
        <v>0</v>
      </c>
    </row>
    <row r="59" spans="1:12" ht="33.75" customHeight="1">
      <c r="A59" s="40">
        <v>56</v>
      </c>
      <c r="B59" s="45">
        <v>46</v>
      </c>
      <c r="C59" s="43" t="s">
        <v>40</v>
      </c>
      <c r="D59" s="58" t="s">
        <v>35</v>
      </c>
      <c r="E59" s="58" t="s">
        <v>38</v>
      </c>
      <c r="F59" s="21"/>
      <c r="H59" s="59">
        <v>55</v>
      </c>
      <c r="I59" s="59"/>
      <c r="J59" s="59">
        <f t="shared" ref="J59:J65" si="1">COUNTIF(($C$4:$E$207),I59)</f>
        <v>0</v>
      </c>
    </row>
    <row r="60" spans="1:12" ht="33.75" customHeight="1">
      <c r="A60" s="40">
        <v>57</v>
      </c>
      <c r="B60" s="45">
        <v>201</v>
      </c>
      <c r="C60" s="43" t="s">
        <v>35</v>
      </c>
      <c r="D60" s="58" t="s">
        <v>33</v>
      </c>
      <c r="E60" s="58" t="s">
        <v>38</v>
      </c>
      <c r="F60" s="21"/>
      <c r="H60" s="59">
        <v>56</v>
      </c>
      <c r="I60" s="59"/>
      <c r="J60" s="59">
        <f t="shared" si="1"/>
        <v>0</v>
      </c>
    </row>
    <row r="61" spans="1:12" ht="33.75" customHeight="1">
      <c r="A61" s="40">
        <v>58</v>
      </c>
      <c r="B61" s="45">
        <v>42</v>
      </c>
      <c r="C61" s="43" t="s">
        <v>43</v>
      </c>
      <c r="D61" s="58" t="s">
        <v>35</v>
      </c>
      <c r="E61" s="58" t="s">
        <v>40</v>
      </c>
      <c r="F61" s="21"/>
      <c r="H61" s="59">
        <v>57</v>
      </c>
      <c r="I61" s="59"/>
      <c r="J61" s="59">
        <f t="shared" si="1"/>
        <v>0</v>
      </c>
    </row>
    <row r="62" spans="1:12" ht="33.75" customHeight="1">
      <c r="A62" s="40">
        <v>59</v>
      </c>
      <c r="B62" s="45">
        <v>418</v>
      </c>
      <c r="C62" s="43" t="s">
        <v>65</v>
      </c>
      <c r="D62" s="58" t="s">
        <v>57</v>
      </c>
      <c r="E62" s="58" t="s">
        <v>35</v>
      </c>
      <c r="F62" s="21"/>
      <c r="H62" s="59">
        <v>58</v>
      </c>
      <c r="I62" s="59"/>
      <c r="J62" s="59">
        <f t="shared" si="1"/>
        <v>0</v>
      </c>
    </row>
    <row r="63" spans="1:12" ht="33.75" customHeight="1">
      <c r="A63" s="40">
        <v>60</v>
      </c>
      <c r="B63" s="45">
        <v>178</v>
      </c>
      <c r="C63" s="43" t="s">
        <v>33</v>
      </c>
      <c r="D63" s="58" t="s">
        <v>27</v>
      </c>
      <c r="E63" s="58" t="s">
        <v>57</v>
      </c>
      <c r="F63" s="21"/>
      <c r="H63" s="59">
        <v>59</v>
      </c>
      <c r="I63" s="59"/>
      <c r="J63" s="59">
        <f t="shared" si="1"/>
        <v>0</v>
      </c>
    </row>
    <row r="64" spans="1:12" ht="33.75" customHeight="1">
      <c r="A64" s="40">
        <v>61</v>
      </c>
      <c r="B64" s="45">
        <v>417</v>
      </c>
      <c r="C64" s="43" t="s">
        <v>27</v>
      </c>
      <c r="D64" s="58" t="s">
        <v>29</v>
      </c>
      <c r="E64" s="58" t="s">
        <v>33</v>
      </c>
      <c r="F64" s="21"/>
      <c r="H64" s="59">
        <v>60</v>
      </c>
      <c r="I64" s="59"/>
      <c r="J64" s="59">
        <f t="shared" si="1"/>
        <v>0</v>
      </c>
    </row>
    <row r="65" spans="1:10" ht="33.75" customHeight="1">
      <c r="A65" s="40">
        <v>62</v>
      </c>
      <c r="B65" s="45">
        <v>269</v>
      </c>
      <c r="C65" s="43" t="s">
        <v>42</v>
      </c>
      <c r="D65" s="58" t="s">
        <v>59</v>
      </c>
      <c r="E65" s="58" t="s">
        <v>36</v>
      </c>
      <c r="F65" s="21"/>
      <c r="H65" s="59">
        <v>61</v>
      </c>
      <c r="I65" s="59"/>
      <c r="J65" s="59">
        <f t="shared" si="1"/>
        <v>0</v>
      </c>
    </row>
    <row r="66" spans="1:10" ht="33.75" customHeight="1">
      <c r="A66" s="40">
        <v>63</v>
      </c>
      <c r="B66" s="45">
        <v>299</v>
      </c>
      <c r="C66" s="43" t="s">
        <v>35</v>
      </c>
      <c r="D66" s="58" t="s">
        <v>33</v>
      </c>
      <c r="E66" s="58" t="s">
        <v>57</v>
      </c>
      <c r="F66" s="21"/>
      <c r="H66" s="59"/>
      <c r="I66" s="59" t="s">
        <v>129</v>
      </c>
      <c r="J66" s="59">
        <f>COUNTIF(($C$4:$E$111),"")</f>
        <v>14</v>
      </c>
    </row>
    <row r="67" spans="1:10" ht="33.75" customHeight="1">
      <c r="A67" s="40">
        <v>64</v>
      </c>
      <c r="B67" s="45">
        <v>147</v>
      </c>
      <c r="C67" s="43" t="s">
        <v>33</v>
      </c>
      <c r="D67" s="58" t="s">
        <v>29</v>
      </c>
      <c r="E67" s="58" t="s">
        <v>27</v>
      </c>
      <c r="F67" s="21"/>
      <c r="H67" s="59"/>
      <c r="I67" s="61" t="s">
        <v>130</v>
      </c>
      <c r="J67" s="59">
        <f>SUM(J5:J66)/3</f>
        <v>108</v>
      </c>
    </row>
    <row r="68" spans="1:10" ht="33.75" customHeight="1">
      <c r="A68" s="40">
        <v>65</v>
      </c>
      <c r="B68" s="45">
        <v>411</v>
      </c>
      <c r="C68" s="43" t="s">
        <v>73</v>
      </c>
      <c r="D68" s="58" t="s">
        <v>43</v>
      </c>
      <c r="E68" s="58" t="s">
        <v>57</v>
      </c>
      <c r="F68" s="21"/>
    </row>
    <row r="69" spans="1:10" ht="33.75" customHeight="1">
      <c r="A69" s="40">
        <v>66</v>
      </c>
      <c r="B69" s="45">
        <v>282</v>
      </c>
      <c r="C69" s="43" t="s">
        <v>57</v>
      </c>
      <c r="D69" s="58" t="s">
        <v>38</v>
      </c>
      <c r="E69" s="58" t="s">
        <v>51</v>
      </c>
      <c r="F69" s="21"/>
    </row>
    <row r="70" spans="1:10" ht="33.75" customHeight="1">
      <c r="A70" s="40">
        <v>67</v>
      </c>
      <c r="B70" s="45">
        <v>158</v>
      </c>
      <c r="C70" s="43" t="s">
        <v>35</v>
      </c>
      <c r="D70" s="58" t="s">
        <v>38</v>
      </c>
      <c r="E70" s="58" t="s">
        <v>40</v>
      </c>
      <c r="F70" s="21"/>
    </row>
    <row r="71" spans="1:10" ht="33.75" customHeight="1">
      <c r="A71" s="40">
        <v>68</v>
      </c>
      <c r="B71" s="45">
        <v>69</v>
      </c>
      <c r="C71" s="43" t="s">
        <v>35</v>
      </c>
      <c r="D71" s="58" t="s">
        <v>43</v>
      </c>
      <c r="E71" s="58" t="s">
        <v>46</v>
      </c>
      <c r="F71" s="21"/>
    </row>
    <row r="72" spans="1:10" ht="33.75" customHeight="1">
      <c r="A72" s="40">
        <v>69</v>
      </c>
      <c r="B72" s="45">
        <v>78</v>
      </c>
      <c r="C72" s="43" t="s">
        <v>57</v>
      </c>
      <c r="D72" s="58" t="s">
        <v>35</v>
      </c>
      <c r="E72" s="58" t="s">
        <v>43</v>
      </c>
      <c r="F72" s="21"/>
    </row>
    <row r="73" spans="1:10" ht="33.75" customHeight="1">
      <c r="A73" s="40">
        <v>70</v>
      </c>
      <c r="B73" s="45">
        <v>90</v>
      </c>
      <c r="C73" s="43" t="s">
        <v>35</v>
      </c>
      <c r="D73" s="58" t="s">
        <v>40</v>
      </c>
      <c r="E73" s="58" t="s">
        <v>43</v>
      </c>
      <c r="F73" s="21"/>
    </row>
    <row r="74" spans="1:10" ht="33.75" customHeight="1">
      <c r="A74" s="40">
        <v>71</v>
      </c>
      <c r="B74" s="45">
        <v>280</v>
      </c>
      <c r="C74" s="43" t="s">
        <v>57</v>
      </c>
      <c r="D74" s="58" t="s">
        <v>33</v>
      </c>
      <c r="E74" s="58" t="s">
        <v>38</v>
      </c>
      <c r="F74" s="21"/>
    </row>
    <row r="75" spans="1:10" ht="33.75" customHeight="1">
      <c r="A75" s="40">
        <v>72</v>
      </c>
      <c r="B75" s="45">
        <v>442</v>
      </c>
      <c r="C75" s="43" t="s">
        <v>57</v>
      </c>
      <c r="D75" s="58" t="s">
        <v>49</v>
      </c>
      <c r="E75" s="58" t="s">
        <v>46</v>
      </c>
      <c r="F75" s="21"/>
    </row>
    <row r="76" spans="1:10" ht="33.75" customHeight="1">
      <c r="A76" s="40">
        <v>73</v>
      </c>
      <c r="B76" s="45">
        <v>325</v>
      </c>
      <c r="C76" s="43" t="s">
        <v>35</v>
      </c>
      <c r="D76" s="58" t="s">
        <v>43</v>
      </c>
      <c r="E76" s="58" t="s">
        <v>38</v>
      </c>
      <c r="F76" s="21"/>
    </row>
    <row r="77" spans="1:10" ht="33.75" customHeight="1">
      <c r="A77" s="40">
        <v>74</v>
      </c>
      <c r="B77" s="45">
        <v>88</v>
      </c>
      <c r="C77" s="43" t="s">
        <v>57</v>
      </c>
      <c r="D77" s="58" t="s">
        <v>35</v>
      </c>
      <c r="E77" s="58" t="s">
        <v>49</v>
      </c>
      <c r="F77" s="21"/>
    </row>
    <row r="78" spans="1:10" ht="33.75" customHeight="1">
      <c r="A78" s="40">
        <v>75</v>
      </c>
      <c r="B78" s="45">
        <v>86</v>
      </c>
      <c r="C78" s="43" t="s">
        <v>35</v>
      </c>
      <c r="D78" s="58" t="s">
        <v>57</v>
      </c>
      <c r="E78" s="58" t="s">
        <v>49</v>
      </c>
      <c r="F78" s="21"/>
    </row>
    <row r="79" spans="1:10" ht="33.75" customHeight="1">
      <c r="A79" s="40">
        <v>76</v>
      </c>
      <c r="B79" s="45">
        <v>279</v>
      </c>
      <c r="C79" s="43" t="s">
        <v>35</v>
      </c>
      <c r="D79" s="58" t="s">
        <v>38</v>
      </c>
      <c r="E79" s="58" t="s">
        <v>43</v>
      </c>
      <c r="F79" s="21"/>
    </row>
    <row r="80" spans="1:10" ht="33.75" customHeight="1">
      <c r="A80" s="40">
        <v>77</v>
      </c>
      <c r="B80" s="45">
        <v>278</v>
      </c>
      <c r="C80" s="43" t="s">
        <v>33</v>
      </c>
      <c r="D80" s="58" t="s">
        <v>57</v>
      </c>
      <c r="E80" s="20" t="s">
        <v>38</v>
      </c>
      <c r="F80" s="21"/>
    </row>
    <row r="81" spans="1:6" ht="33.75" customHeight="1">
      <c r="A81" s="40">
        <v>78</v>
      </c>
      <c r="B81" s="45">
        <v>187</v>
      </c>
      <c r="C81" s="43" t="s">
        <v>38</v>
      </c>
      <c r="D81" s="58" t="s">
        <v>65</v>
      </c>
      <c r="E81" s="58" t="s">
        <v>42</v>
      </c>
      <c r="F81" s="21"/>
    </row>
    <row r="82" spans="1:6" ht="33.75" customHeight="1">
      <c r="A82" s="40">
        <v>79</v>
      </c>
      <c r="B82" s="45">
        <v>85</v>
      </c>
      <c r="C82" s="43" t="s">
        <v>46</v>
      </c>
      <c r="D82" s="58" t="s">
        <v>35</v>
      </c>
      <c r="E82" s="58" t="s">
        <v>42</v>
      </c>
      <c r="F82" s="21"/>
    </row>
    <row r="83" spans="1:6" ht="33.75" customHeight="1">
      <c r="A83" s="40">
        <v>80</v>
      </c>
      <c r="B83" s="45">
        <v>288</v>
      </c>
      <c r="C83" s="43" t="s">
        <v>33</v>
      </c>
      <c r="D83" s="58" t="s">
        <v>51</v>
      </c>
      <c r="E83" s="58" t="s">
        <v>49</v>
      </c>
      <c r="F83" s="21"/>
    </row>
    <row r="84" spans="1:6" ht="33.75" customHeight="1">
      <c r="A84" s="40">
        <v>81</v>
      </c>
      <c r="B84" s="45">
        <v>403</v>
      </c>
      <c r="C84" s="43" t="s">
        <v>57</v>
      </c>
      <c r="D84" s="58"/>
      <c r="E84" s="58"/>
      <c r="F84" s="21"/>
    </row>
    <row r="85" spans="1:6" ht="33.75" customHeight="1">
      <c r="A85" s="40">
        <v>82</v>
      </c>
      <c r="B85" s="45">
        <v>169</v>
      </c>
      <c r="C85" s="43" t="s">
        <v>57</v>
      </c>
      <c r="D85" s="58" t="s">
        <v>59</v>
      </c>
      <c r="E85" s="58" t="s">
        <v>40</v>
      </c>
      <c r="F85" s="21"/>
    </row>
    <row r="86" spans="1:6" ht="33.75" customHeight="1">
      <c r="A86" s="40">
        <v>83</v>
      </c>
      <c r="B86" s="45">
        <v>323</v>
      </c>
      <c r="C86" s="43" t="s">
        <v>33</v>
      </c>
      <c r="D86" s="58" t="s">
        <v>52</v>
      </c>
      <c r="E86" s="58" t="s">
        <v>43</v>
      </c>
      <c r="F86" s="21"/>
    </row>
    <row r="87" spans="1:6" ht="33.75" customHeight="1">
      <c r="A87" s="40">
        <v>84</v>
      </c>
      <c r="B87" s="45">
        <v>185</v>
      </c>
      <c r="C87" s="43" t="s">
        <v>49</v>
      </c>
      <c r="D87" s="58" t="s">
        <v>35</v>
      </c>
      <c r="E87" s="58" t="s">
        <v>50</v>
      </c>
      <c r="F87" s="21"/>
    </row>
    <row r="88" spans="1:6" ht="33.75" customHeight="1">
      <c r="A88" s="40">
        <v>85</v>
      </c>
      <c r="B88" s="45">
        <v>322</v>
      </c>
      <c r="C88" s="43" t="s">
        <v>33</v>
      </c>
      <c r="D88" s="58" t="s">
        <v>57</v>
      </c>
      <c r="E88" s="58" t="s">
        <v>38</v>
      </c>
      <c r="F88" s="21"/>
    </row>
    <row r="89" spans="1:6" ht="33.75" customHeight="1">
      <c r="A89" s="40">
        <v>86</v>
      </c>
      <c r="B89" s="45">
        <v>444</v>
      </c>
      <c r="C89" s="43" t="s">
        <v>40</v>
      </c>
      <c r="D89" s="58" t="s">
        <v>41</v>
      </c>
      <c r="E89" s="58" t="s">
        <v>43</v>
      </c>
      <c r="F89" s="21"/>
    </row>
    <row r="90" spans="1:6" ht="33.75" customHeight="1">
      <c r="A90" s="40">
        <v>87</v>
      </c>
      <c r="B90" s="45">
        <v>186</v>
      </c>
      <c r="C90" s="43" t="s">
        <v>33</v>
      </c>
      <c r="D90" s="58" t="s">
        <v>57</v>
      </c>
      <c r="E90" s="58" t="s">
        <v>29</v>
      </c>
      <c r="F90" s="21"/>
    </row>
    <row r="91" spans="1:6" ht="33.75" customHeight="1">
      <c r="A91" s="40">
        <v>88</v>
      </c>
      <c r="B91" s="45">
        <v>331</v>
      </c>
      <c r="C91" s="43" t="s">
        <v>30</v>
      </c>
      <c r="D91" s="58" t="s">
        <v>41</v>
      </c>
      <c r="E91" s="58" t="s">
        <v>49</v>
      </c>
      <c r="F91" s="21"/>
    </row>
    <row r="92" spans="1:6" ht="33.75" customHeight="1">
      <c r="A92" s="40">
        <v>89</v>
      </c>
      <c r="B92" s="45">
        <v>445</v>
      </c>
      <c r="C92" s="43" t="s">
        <v>43</v>
      </c>
      <c r="D92" s="58" t="s">
        <v>41</v>
      </c>
      <c r="E92" s="58" t="s">
        <v>40</v>
      </c>
      <c r="F92" s="21"/>
    </row>
    <row r="93" spans="1:6" ht="33.75" customHeight="1">
      <c r="A93" s="40">
        <v>90</v>
      </c>
      <c r="B93" s="45">
        <v>456</v>
      </c>
      <c r="C93" s="43" t="s">
        <v>57</v>
      </c>
      <c r="D93" s="58" t="s">
        <v>33</v>
      </c>
      <c r="E93" s="58" t="s">
        <v>49</v>
      </c>
      <c r="F93" s="21"/>
    </row>
    <row r="94" spans="1:6" ht="33.75" customHeight="1">
      <c r="A94" s="40">
        <v>91</v>
      </c>
      <c r="B94" s="45">
        <v>350</v>
      </c>
      <c r="C94" s="43" t="s">
        <v>73</v>
      </c>
      <c r="D94" s="58" t="s">
        <v>143</v>
      </c>
      <c r="E94" s="58" t="s">
        <v>43</v>
      </c>
      <c r="F94" s="21"/>
    </row>
    <row r="95" spans="1:6" ht="33.75" customHeight="1">
      <c r="A95" s="40">
        <v>92</v>
      </c>
      <c r="B95" s="45">
        <v>329</v>
      </c>
      <c r="C95" s="43" t="s">
        <v>27</v>
      </c>
      <c r="D95" s="58" t="s">
        <v>31</v>
      </c>
      <c r="E95" s="58" t="s">
        <v>73</v>
      </c>
      <c r="F95" s="21"/>
    </row>
    <row r="96" spans="1:6" ht="33.75" customHeight="1">
      <c r="A96" s="40">
        <v>93</v>
      </c>
      <c r="B96" s="45">
        <v>95</v>
      </c>
      <c r="C96" s="43" t="s">
        <v>35</v>
      </c>
      <c r="D96" s="58" t="s">
        <v>57</v>
      </c>
      <c r="E96" s="58" t="s">
        <v>58</v>
      </c>
      <c r="F96" s="21"/>
    </row>
    <row r="97" spans="1:6" ht="33.75" customHeight="1">
      <c r="A97" s="40">
        <v>94</v>
      </c>
      <c r="B97" s="45">
        <v>26</v>
      </c>
      <c r="C97" s="43" t="s">
        <v>57</v>
      </c>
      <c r="D97" s="58" t="s">
        <v>35</v>
      </c>
      <c r="E97" s="58" t="s">
        <v>59</v>
      </c>
      <c r="F97" s="21"/>
    </row>
    <row r="98" spans="1:6" ht="33.75" customHeight="1">
      <c r="A98" s="40">
        <v>95</v>
      </c>
      <c r="B98" s="45">
        <v>341</v>
      </c>
      <c r="C98" s="43" t="s">
        <v>57</v>
      </c>
      <c r="D98" s="58" t="s">
        <v>35</v>
      </c>
      <c r="E98" s="58" t="s">
        <v>59</v>
      </c>
      <c r="F98" s="21"/>
    </row>
    <row r="99" spans="1:6" ht="33.75" customHeight="1">
      <c r="A99" s="40">
        <v>96</v>
      </c>
      <c r="B99" s="45">
        <v>347</v>
      </c>
      <c r="C99" s="43" t="s">
        <v>35</v>
      </c>
      <c r="D99" s="58" t="s">
        <v>43</v>
      </c>
      <c r="E99" s="58" t="s">
        <v>57</v>
      </c>
      <c r="F99" s="21"/>
    </row>
    <row r="100" spans="1:6" ht="33.75" customHeight="1">
      <c r="A100" s="40">
        <v>97</v>
      </c>
      <c r="B100" s="45">
        <v>180</v>
      </c>
      <c r="C100" s="43" t="s">
        <v>35</v>
      </c>
      <c r="D100" s="58" t="s">
        <v>59</v>
      </c>
      <c r="E100" s="58" t="s">
        <v>57</v>
      </c>
      <c r="F100" s="21"/>
    </row>
    <row r="101" spans="1:6" ht="33.75" customHeight="1">
      <c r="A101" s="40">
        <v>98</v>
      </c>
      <c r="B101" s="45">
        <v>353</v>
      </c>
      <c r="C101" s="43" t="s">
        <v>57</v>
      </c>
      <c r="D101" s="58" t="s">
        <v>33</v>
      </c>
      <c r="E101" s="58" t="s">
        <v>49</v>
      </c>
      <c r="F101" s="21"/>
    </row>
    <row r="102" spans="1:6" ht="33.75" customHeight="1">
      <c r="A102" s="40">
        <v>99</v>
      </c>
      <c r="B102" s="45">
        <v>87</v>
      </c>
      <c r="C102" s="43" t="s">
        <v>35</v>
      </c>
      <c r="D102" s="58" t="s">
        <v>57</v>
      </c>
      <c r="E102" s="58" t="s">
        <v>33</v>
      </c>
      <c r="F102" s="21"/>
    </row>
    <row r="103" spans="1:6" ht="33.75" customHeight="1">
      <c r="A103" s="40">
        <v>100</v>
      </c>
      <c r="B103" s="45">
        <v>319</v>
      </c>
      <c r="C103" s="43" t="s">
        <v>49</v>
      </c>
      <c r="D103" s="58" t="s">
        <v>65</v>
      </c>
      <c r="E103" s="20" t="s">
        <v>146</v>
      </c>
      <c r="F103" s="21"/>
    </row>
    <row r="104" spans="1:6" ht="33.75" customHeight="1">
      <c r="A104" s="40">
        <v>101</v>
      </c>
      <c r="B104" s="45">
        <v>324</v>
      </c>
      <c r="C104" s="43" t="s">
        <v>35</v>
      </c>
      <c r="D104" s="58" t="s">
        <v>57</v>
      </c>
      <c r="E104" s="20" t="s">
        <v>40</v>
      </c>
      <c r="F104" s="21"/>
    </row>
    <row r="105" spans="1:6" ht="33.75" customHeight="1">
      <c r="A105" s="40">
        <v>102</v>
      </c>
      <c r="B105" s="45">
        <v>309</v>
      </c>
      <c r="C105" s="43" t="s">
        <v>57</v>
      </c>
      <c r="D105" s="58" t="s">
        <v>40</v>
      </c>
      <c r="E105" s="58" t="s">
        <v>73</v>
      </c>
      <c r="F105" s="21"/>
    </row>
    <row r="106" spans="1:6" ht="33.75" customHeight="1">
      <c r="A106" s="40">
        <v>103</v>
      </c>
      <c r="B106" s="45">
        <v>92</v>
      </c>
      <c r="C106" s="43" t="s">
        <v>49</v>
      </c>
      <c r="D106" s="58" t="s">
        <v>60</v>
      </c>
      <c r="E106" s="58"/>
      <c r="F106" s="21"/>
    </row>
    <row r="107" spans="1:6" ht="33.75" customHeight="1">
      <c r="A107" s="40">
        <v>104</v>
      </c>
      <c r="B107" s="45">
        <v>336</v>
      </c>
      <c r="C107" s="43" t="s">
        <v>57</v>
      </c>
      <c r="D107" s="58" t="s">
        <v>27</v>
      </c>
      <c r="E107" s="58" t="s">
        <v>33</v>
      </c>
      <c r="F107" s="21"/>
    </row>
    <row r="108" spans="1:6" ht="33.75" customHeight="1">
      <c r="A108" s="40">
        <v>105</v>
      </c>
      <c r="B108" s="45">
        <v>166</v>
      </c>
      <c r="C108" s="43" t="s">
        <v>57</v>
      </c>
      <c r="D108" s="58" t="s">
        <v>49</v>
      </c>
      <c r="E108" s="58" t="s">
        <v>46</v>
      </c>
      <c r="F108" s="21"/>
    </row>
    <row r="109" spans="1:6" ht="33.75" customHeight="1">
      <c r="A109" s="40">
        <v>106</v>
      </c>
      <c r="B109" s="45">
        <v>343</v>
      </c>
      <c r="C109" s="43" t="s">
        <v>35</v>
      </c>
      <c r="D109" s="58" t="s">
        <v>29</v>
      </c>
      <c r="E109" s="58" t="s">
        <v>46</v>
      </c>
      <c r="F109" s="21"/>
    </row>
    <row r="110" spans="1:6" ht="33.75" customHeight="1">
      <c r="A110" s="40">
        <v>107</v>
      </c>
      <c r="B110" s="45">
        <v>321</v>
      </c>
      <c r="C110" s="43" t="s">
        <v>46</v>
      </c>
      <c r="D110" s="58" t="s">
        <v>57</v>
      </c>
      <c r="E110" s="58" t="s">
        <v>33</v>
      </c>
      <c r="F110" s="21"/>
    </row>
    <row r="111" spans="1:6" ht="33.75" customHeight="1">
      <c r="A111" s="40">
        <v>108</v>
      </c>
      <c r="B111" s="45">
        <v>190</v>
      </c>
      <c r="C111" s="43" t="s">
        <v>29</v>
      </c>
      <c r="D111" s="58" t="s">
        <v>35</v>
      </c>
      <c r="E111" s="58" t="s">
        <v>43</v>
      </c>
      <c r="F111" s="21"/>
    </row>
    <row r="112" spans="1:6" ht="33.75" customHeight="1">
      <c r="A112" s="40">
        <v>109</v>
      </c>
      <c r="B112" s="45"/>
      <c r="C112" s="43"/>
      <c r="D112" s="58"/>
      <c r="E112" s="58"/>
      <c r="F112" s="21"/>
    </row>
    <row r="113" spans="1:6" ht="33.75" customHeight="1">
      <c r="A113" s="40">
        <v>110</v>
      </c>
      <c r="B113" s="45"/>
      <c r="C113" s="43"/>
      <c r="D113" s="58"/>
      <c r="E113" s="58"/>
      <c r="F113" s="21"/>
    </row>
    <row r="114" spans="1:6" ht="33.75" customHeight="1">
      <c r="A114" s="40">
        <v>111</v>
      </c>
      <c r="B114" s="45"/>
      <c r="C114" s="43"/>
      <c r="D114" s="58"/>
      <c r="E114" s="58"/>
      <c r="F114" s="21"/>
    </row>
    <row r="115" spans="1:6" ht="33.75" customHeight="1">
      <c r="A115" s="40">
        <v>112</v>
      </c>
      <c r="B115" s="45"/>
      <c r="C115" s="43"/>
      <c r="D115" s="58"/>
      <c r="E115" s="58"/>
      <c r="F115" s="21"/>
    </row>
    <row r="116" spans="1:6" ht="33.75" customHeight="1">
      <c r="A116" s="40">
        <v>113</v>
      </c>
      <c r="B116" s="45"/>
      <c r="C116" s="43"/>
      <c r="D116" s="58"/>
      <c r="E116" s="58"/>
      <c r="F116" s="21"/>
    </row>
    <row r="117" spans="1:6" ht="33.75" customHeight="1">
      <c r="A117" s="40">
        <v>114</v>
      </c>
      <c r="B117" s="45"/>
      <c r="C117" s="43"/>
      <c r="D117" s="58"/>
      <c r="E117" s="58"/>
      <c r="F117" s="21"/>
    </row>
    <row r="118" spans="1:6" ht="33.75" customHeight="1">
      <c r="A118" s="40">
        <v>115</v>
      </c>
      <c r="B118" s="45"/>
      <c r="C118" s="43"/>
      <c r="D118" s="58"/>
      <c r="E118" s="58"/>
      <c r="F118" s="21"/>
    </row>
    <row r="119" spans="1:6" ht="33.75" customHeight="1">
      <c r="A119" s="40">
        <v>116</v>
      </c>
      <c r="B119" s="45"/>
      <c r="C119" s="43"/>
      <c r="D119" s="58"/>
      <c r="E119" s="58"/>
      <c r="F119" s="21"/>
    </row>
    <row r="120" spans="1:6" ht="33.75" customHeight="1">
      <c r="A120" s="40">
        <v>117</v>
      </c>
      <c r="B120" s="45"/>
      <c r="C120" s="43"/>
      <c r="D120" s="58"/>
      <c r="E120" s="58"/>
      <c r="F120" s="21"/>
    </row>
    <row r="121" spans="1:6" ht="33.75" customHeight="1">
      <c r="A121" s="40">
        <v>118</v>
      </c>
      <c r="B121" s="45"/>
      <c r="C121" s="43"/>
      <c r="D121" s="58"/>
      <c r="E121" s="58"/>
      <c r="F121" s="21"/>
    </row>
    <row r="122" spans="1:6" ht="33.75" customHeight="1">
      <c r="A122" s="40">
        <v>119</v>
      </c>
      <c r="B122" s="45"/>
      <c r="C122" s="43"/>
      <c r="D122" s="58"/>
      <c r="E122" s="58"/>
      <c r="F122" s="21"/>
    </row>
    <row r="123" spans="1:6" ht="33.75" customHeight="1">
      <c r="A123" s="40">
        <v>120</v>
      </c>
      <c r="B123" s="45"/>
      <c r="C123" s="43"/>
      <c r="D123" s="58"/>
      <c r="E123" s="58"/>
      <c r="F123" s="21"/>
    </row>
    <row r="124" spans="1:6" ht="33.75" customHeight="1">
      <c r="A124" s="40">
        <v>121</v>
      </c>
      <c r="B124" s="45"/>
      <c r="C124" s="43"/>
      <c r="D124" s="58"/>
      <c r="E124" s="58"/>
      <c r="F124" s="21"/>
    </row>
    <row r="125" spans="1:6" ht="33.75" customHeight="1">
      <c r="A125" s="40">
        <v>122</v>
      </c>
      <c r="B125" s="45"/>
      <c r="C125" s="66"/>
      <c r="D125" s="58"/>
      <c r="E125" s="58"/>
      <c r="F125" s="21"/>
    </row>
    <row r="126" spans="1:6" ht="33.75" customHeight="1">
      <c r="A126" s="40">
        <v>123</v>
      </c>
      <c r="B126" s="45"/>
      <c r="C126" s="66"/>
      <c r="D126" s="58"/>
      <c r="E126" s="58"/>
      <c r="F126" s="21"/>
    </row>
    <row r="127" spans="1:6" ht="33.75" customHeight="1">
      <c r="A127" s="40">
        <v>124</v>
      </c>
      <c r="B127" s="45"/>
      <c r="C127" s="66"/>
      <c r="D127" s="58"/>
      <c r="E127" s="58"/>
      <c r="F127" s="21"/>
    </row>
    <row r="128" spans="1:6" ht="33.75" customHeight="1">
      <c r="A128" s="40">
        <v>125</v>
      </c>
      <c r="B128" s="45"/>
      <c r="C128" s="66"/>
      <c r="D128" s="58"/>
      <c r="E128" s="58"/>
      <c r="F128" s="21"/>
    </row>
    <row r="129" spans="1:6" ht="33.75" customHeight="1">
      <c r="A129" s="40">
        <v>126</v>
      </c>
      <c r="B129" s="45"/>
      <c r="C129" s="66"/>
      <c r="D129" s="58"/>
      <c r="E129" s="58"/>
      <c r="F129" s="21"/>
    </row>
    <row r="130" spans="1:6" ht="33.75" customHeight="1">
      <c r="A130" s="40">
        <v>127</v>
      </c>
      <c r="B130" s="45"/>
      <c r="C130" s="66"/>
      <c r="D130" s="58"/>
      <c r="E130" s="58"/>
      <c r="F130" s="21"/>
    </row>
    <row r="131" spans="1:6" ht="33.75" customHeight="1">
      <c r="A131" s="40">
        <v>128</v>
      </c>
      <c r="B131" s="45"/>
      <c r="C131" s="66"/>
      <c r="D131" s="20"/>
      <c r="E131" s="20"/>
      <c r="F131" s="21"/>
    </row>
    <row r="132" spans="1:6" ht="33.75" customHeight="1">
      <c r="A132" s="40">
        <v>129</v>
      </c>
      <c r="B132" s="45"/>
      <c r="C132" s="43"/>
      <c r="D132" s="20"/>
      <c r="E132" s="20"/>
      <c r="F132" s="21"/>
    </row>
    <row r="133" spans="1:6" ht="33.75" customHeight="1">
      <c r="A133" s="40">
        <v>130</v>
      </c>
      <c r="B133" s="45"/>
      <c r="C133" s="66"/>
      <c r="D133" s="58"/>
      <c r="E133" s="58"/>
      <c r="F133" s="21"/>
    </row>
    <row r="134" spans="1:6" ht="33.75" customHeight="1">
      <c r="A134" s="40">
        <v>131</v>
      </c>
      <c r="B134" s="45"/>
      <c r="C134" s="66"/>
      <c r="D134" s="58"/>
      <c r="E134" s="58"/>
      <c r="F134" s="21"/>
    </row>
    <row r="135" spans="1:6" ht="33.75" customHeight="1">
      <c r="A135" s="40">
        <v>132</v>
      </c>
      <c r="B135" s="45"/>
      <c r="C135" s="66"/>
      <c r="D135" s="58"/>
      <c r="E135" s="58"/>
      <c r="F135" s="21"/>
    </row>
    <row r="136" spans="1:6" ht="33.75" customHeight="1">
      <c r="A136" s="40">
        <v>133</v>
      </c>
      <c r="B136" s="45"/>
      <c r="C136" s="66"/>
      <c r="D136" s="58"/>
      <c r="E136" s="58"/>
      <c r="F136" s="21"/>
    </row>
    <row r="137" spans="1:6" ht="33.75" customHeight="1">
      <c r="A137" s="40">
        <v>134</v>
      </c>
      <c r="B137" s="45"/>
      <c r="C137" s="66"/>
      <c r="D137" s="58"/>
      <c r="E137" s="58"/>
      <c r="F137" s="21"/>
    </row>
    <row r="138" spans="1:6" ht="33.75" customHeight="1">
      <c r="A138" s="40">
        <v>135</v>
      </c>
      <c r="B138" s="45"/>
      <c r="C138" s="66"/>
      <c r="D138" s="58"/>
      <c r="E138" s="58"/>
      <c r="F138" s="21"/>
    </row>
    <row r="139" spans="1:6" ht="33.75" customHeight="1">
      <c r="A139" s="40">
        <v>136</v>
      </c>
      <c r="B139" s="45"/>
      <c r="C139" s="66"/>
      <c r="D139" s="58"/>
      <c r="E139" s="58"/>
      <c r="F139" s="21"/>
    </row>
    <row r="140" spans="1:6" ht="33.75" customHeight="1">
      <c r="A140" s="40">
        <v>137</v>
      </c>
      <c r="B140" s="45"/>
      <c r="C140" s="66"/>
      <c r="D140" s="58"/>
      <c r="E140" s="58"/>
      <c r="F140" s="21"/>
    </row>
    <row r="141" spans="1:6" ht="33.75" customHeight="1">
      <c r="A141" s="40">
        <v>138</v>
      </c>
      <c r="B141" s="45"/>
      <c r="C141" s="66"/>
      <c r="D141" s="58"/>
      <c r="E141" s="58"/>
      <c r="F141" s="21"/>
    </row>
    <row r="142" spans="1:6" ht="33.75" customHeight="1">
      <c r="A142" s="40">
        <v>139</v>
      </c>
      <c r="B142" s="45"/>
      <c r="C142" s="66"/>
      <c r="D142" s="58"/>
      <c r="E142" s="58"/>
      <c r="F142" s="21"/>
    </row>
    <row r="143" spans="1:6" ht="33.75" customHeight="1">
      <c r="A143" s="40">
        <v>140</v>
      </c>
      <c r="B143" s="45"/>
      <c r="C143" s="66"/>
      <c r="D143" s="58"/>
      <c r="E143" s="58"/>
      <c r="F143" s="21"/>
    </row>
    <row r="144" spans="1:6" ht="33.75" customHeight="1">
      <c r="A144" s="40">
        <v>141</v>
      </c>
      <c r="B144" s="45"/>
      <c r="C144" s="66"/>
      <c r="D144" s="58"/>
      <c r="E144" s="58"/>
      <c r="F144" s="21"/>
    </row>
    <row r="145" spans="1:6" ht="33.75" customHeight="1">
      <c r="A145" s="40">
        <v>142</v>
      </c>
      <c r="B145" s="45"/>
      <c r="C145" s="66"/>
      <c r="D145" s="58"/>
      <c r="E145" s="58"/>
      <c r="F145" s="21"/>
    </row>
    <row r="146" spans="1:6" ht="33.75" customHeight="1">
      <c r="A146" s="40">
        <v>143</v>
      </c>
      <c r="B146" s="45"/>
      <c r="C146" s="66"/>
      <c r="D146" s="58"/>
      <c r="E146" s="58"/>
      <c r="F146" s="21"/>
    </row>
    <row r="147" spans="1:6" ht="33.75" customHeight="1">
      <c r="A147" s="40">
        <v>144</v>
      </c>
      <c r="B147" s="45"/>
      <c r="C147" s="66"/>
      <c r="D147" s="58"/>
      <c r="E147" s="58"/>
      <c r="F147" s="21"/>
    </row>
    <row r="148" spans="1:6" ht="33.75" customHeight="1">
      <c r="A148" s="40">
        <v>145</v>
      </c>
      <c r="B148" s="45"/>
      <c r="C148" s="57"/>
      <c r="D148" s="58"/>
      <c r="E148" s="58"/>
      <c r="F148" s="21"/>
    </row>
    <row r="149" spans="1:6" ht="33.75" customHeight="1">
      <c r="A149" s="40">
        <v>146</v>
      </c>
      <c r="B149" s="45"/>
      <c r="C149" s="57"/>
      <c r="D149" s="58"/>
      <c r="E149" s="58"/>
      <c r="F149" s="21"/>
    </row>
    <row r="150" spans="1:6" ht="33.75" customHeight="1">
      <c r="A150" s="40">
        <v>147</v>
      </c>
      <c r="B150" s="45"/>
      <c r="C150" s="57"/>
      <c r="D150" s="58"/>
      <c r="E150" s="58"/>
      <c r="F150" s="21"/>
    </row>
    <row r="151" spans="1:6" ht="33.75" customHeight="1">
      <c r="A151" s="40">
        <v>148</v>
      </c>
      <c r="B151" s="45"/>
      <c r="C151" s="57"/>
      <c r="D151" s="58"/>
      <c r="E151" s="58"/>
      <c r="F151" s="21"/>
    </row>
    <row r="152" spans="1:6" ht="33.75" customHeight="1">
      <c r="A152" s="40">
        <v>149</v>
      </c>
      <c r="B152" s="45"/>
      <c r="C152" s="57"/>
      <c r="D152" s="58"/>
      <c r="E152" s="58"/>
      <c r="F152" s="21"/>
    </row>
    <row r="153" spans="1:6" ht="33.75" customHeight="1">
      <c r="A153" s="40">
        <v>150</v>
      </c>
      <c r="B153" s="45"/>
      <c r="C153" s="57"/>
      <c r="D153" s="58"/>
      <c r="E153" s="58"/>
      <c r="F153" s="21"/>
    </row>
    <row r="154" spans="1:6" ht="33.75" customHeight="1">
      <c r="A154" s="40">
        <v>151</v>
      </c>
      <c r="B154" s="45"/>
      <c r="C154" s="57"/>
      <c r="D154" s="58"/>
      <c r="E154" s="58"/>
      <c r="F154" s="21"/>
    </row>
    <row r="155" spans="1:6" ht="33.75" customHeight="1">
      <c r="A155" s="40">
        <v>152</v>
      </c>
      <c r="B155" s="45"/>
      <c r="C155" s="23"/>
      <c r="D155" s="20"/>
      <c r="E155" s="20"/>
      <c r="F155" s="21"/>
    </row>
    <row r="156" spans="1:6" ht="33.75" customHeight="1">
      <c r="A156" s="40">
        <v>153</v>
      </c>
      <c r="B156" s="45"/>
      <c r="C156" s="43"/>
      <c r="D156" s="20"/>
      <c r="E156" s="20"/>
      <c r="F156" s="21"/>
    </row>
    <row r="157" spans="1:6" ht="33.75" customHeight="1">
      <c r="A157" s="40">
        <v>154</v>
      </c>
      <c r="B157" s="45"/>
      <c r="C157" s="57"/>
      <c r="D157" s="58"/>
      <c r="E157" s="58"/>
      <c r="F157" s="21"/>
    </row>
    <row r="158" spans="1:6" ht="33.75" customHeight="1">
      <c r="A158" s="40">
        <v>155</v>
      </c>
      <c r="B158" s="45"/>
      <c r="C158" s="57"/>
      <c r="D158" s="58"/>
      <c r="E158" s="58"/>
      <c r="F158" s="21"/>
    </row>
    <row r="159" spans="1:6" ht="33.75" customHeight="1">
      <c r="A159" s="40">
        <v>156</v>
      </c>
      <c r="B159" s="45"/>
      <c r="C159" s="57"/>
      <c r="D159" s="58"/>
      <c r="E159" s="58"/>
      <c r="F159" s="21"/>
    </row>
    <row r="160" spans="1:6" ht="33.75" customHeight="1">
      <c r="A160" s="40">
        <v>157</v>
      </c>
      <c r="B160" s="45"/>
      <c r="C160" s="57"/>
      <c r="D160" s="58"/>
      <c r="E160" s="58"/>
      <c r="F160" s="21"/>
    </row>
    <row r="161" spans="1:6" ht="33.75" customHeight="1">
      <c r="A161" s="40">
        <v>158</v>
      </c>
      <c r="B161" s="45"/>
      <c r="C161" s="57"/>
      <c r="D161" s="58"/>
      <c r="E161" s="58"/>
      <c r="F161" s="21"/>
    </row>
    <row r="162" spans="1:6" ht="33.75" customHeight="1">
      <c r="A162" s="40">
        <v>159</v>
      </c>
      <c r="B162" s="45"/>
      <c r="C162" s="57"/>
      <c r="D162" s="58"/>
      <c r="E162" s="58"/>
      <c r="F162" s="21"/>
    </row>
    <row r="163" spans="1:6" ht="33.75" customHeight="1">
      <c r="A163" s="40">
        <v>160</v>
      </c>
      <c r="B163" s="45"/>
      <c r="C163" s="57"/>
      <c r="D163" s="58"/>
      <c r="E163" s="58"/>
      <c r="F163" s="21"/>
    </row>
    <row r="164" spans="1:6" ht="33.75" customHeight="1">
      <c r="A164" s="40">
        <v>161</v>
      </c>
      <c r="B164" s="45"/>
      <c r="C164" s="57"/>
      <c r="D164" s="58"/>
      <c r="E164" s="58"/>
      <c r="F164" s="21"/>
    </row>
    <row r="165" spans="1:6" ht="33.75" customHeight="1">
      <c r="A165" s="40">
        <v>162</v>
      </c>
      <c r="B165" s="45"/>
      <c r="C165" s="57"/>
      <c r="D165" s="58"/>
      <c r="E165" s="58"/>
      <c r="F165" s="21"/>
    </row>
    <row r="166" spans="1:6" ht="33.75" customHeight="1">
      <c r="A166" s="40">
        <v>163</v>
      </c>
      <c r="B166" s="45"/>
      <c r="C166" s="57"/>
      <c r="D166" s="58"/>
      <c r="E166" s="58"/>
      <c r="F166" s="21"/>
    </row>
    <row r="167" spans="1:6" ht="33.75" customHeight="1">
      <c r="A167" s="40">
        <v>164</v>
      </c>
      <c r="B167" s="45"/>
      <c r="C167" s="57"/>
      <c r="D167" s="58"/>
      <c r="E167" s="58"/>
      <c r="F167" s="21"/>
    </row>
    <row r="168" spans="1:6" ht="33.75" customHeight="1">
      <c r="A168" s="40">
        <v>165</v>
      </c>
      <c r="B168" s="45"/>
      <c r="C168" s="57"/>
      <c r="D168" s="58"/>
      <c r="E168" s="58"/>
      <c r="F168" s="21"/>
    </row>
    <row r="169" spans="1:6" ht="33.75" customHeight="1">
      <c r="A169" s="40">
        <v>166</v>
      </c>
      <c r="B169" s="45"/>
      <c r="C169" s="57"/>
      <c r="D169" s="58"/>
      <c r="E169" s="58"/>
      <c r="F169" s="21"/>
    </row>
    <row r="170" spans="1:6" ht="33.75" customHeight="1">
      <c r="A170" s="40">
        <v>167</v>
      </c>
      <c r="B170" s="45"/>
      <c r="C170" s="57"/>
      <c r="D170" s="58"/>
      <c r="E170" s="58"/>
      <c r="F170" s="21"/>
    </row>
    <row r="171" spans="1:6" ht="33.75" customHeight="1">
      <c r="A171" s="40">
        <v>168</v>
      </c>
      <c r="B171" s="45"/>
      <c r="C171" s="57"/>
      <c r="D171" s="58"/>
      <c r="E171" s="58"/>
      <c r="F171" s="21"/>
    </row>
    <row r="172" spans="1:6" ht="33.75" customHeight="1">
      <c r="A172" s="40">
        <v>169</v>
      </c>
      <c r="B172" s="45"/>
      <c r="C172" s="57"/>
      <c r="D172" s="58"/>
      <c r="E172" s="58"/>
      <c r="F172" s="21"/>
    </row>
    <row r="173" spans="1:6" ht="33.75" customHeight="1">
      <c r="A173" s="40">
        <v>170</v>
      </c>
      <c r="B173" s="45"/>
      <c r="C173" s="57"/>
      <c r="D173" s="58"/>
      <c r="E173" s="58"/>
      <c r="F173" s="21"/>
    </row>
    <row r="174" spans="1:6" ht="33.75" customHeight="1">
      <c r="A174" s="40">
        <v>171</v>
      </c>
      <c r="B174" s="45"/>
      <c r="C174" s="57"/>
      <c r="D174" s="58"/>
      <c r="E174" s="58"/>
      <c r="F174" s="21"/>
    </row>
    <row r="175" spans="1:6" ht="33.75" customHeight="1">
      <c r="A175" s="40">
        <v>172</v>
      </c>
      <c r="B175" s="45"/>
      <c r="C175" s="57"/>
      <c r="D175" s="58"/>
      <c r="E175" s="58"/>
      <c r="F175" s="21"/>
    </row>
    <row r="176" spans="1:6" ht="33.75" customHeight="1">
      <c r="A176" s="40">
        <v>173</v>
      </c>
      <c r="B176" s="45"/>
      <c r="C176" s="57"/>
      <c r="D176" s="58"/>
      <c r="E176" s="58"/>
      <c r="F176" s="21"/>
    </row>
    <row r="177" spans="1:6" ht="33.75" customHeight="1">
      <c r="A177" s="40">
        <v>174</v>
      </c>
      <c r="B177" s="45"/>
      <c r="C177" s="57"/>
      <c r="D177" s="58"/>
      <c r="E177" s="58"/>
      <c r="F177" s="21"/>
    </row>
    <row r="178" spans="1:6" ht="33.75" customHeight="1">
      <c r="A178" s="40">
        <v>175</v>
      </c>
      <c r="B178" s="45"/>
      <c r="C178" s="57"/>
      <c r="D178" s="58"/>
      <c r="E178" s="58"/>
      <c r="F178" s="21"/>
    </row>
    <row r="179" spans="1:6" ht="33.75" customHeight="1">
      <c r="A179" s="40">
        <v>176</v>
      </c>
      <c r="B179" s="45"/>
      <c r="C179" s="23"/>
      <c r="D179" s="20"/>
      <c r="E179" s="20"/>
      <c r="F179" s="21"/>
    </row>
    <row r="180" spans="1:6" ht="33.75" customHeight="1">
      <c r="A180" s="40">
        <v>177</v>
      </c>
      <c r="B180" s="45"/>
      <c r="C180" s="43"/>
      <c r="D180" s="20"/>
      <c r="E180" s="20"/>
      <c r="F180" s="21"/>
    </row>
    <row r="181" spans="1:6" ht="33.75" customHeight="1">
      <c r="A181" s="40">
        <v>178</v>
      </c>
      <c r="B181" s="45"/>
      <c r="C181" s="57"/>
      <c r="D181" s="58"/>
      <c r="E181" s="58"/>
      <c r="F181" s="21"/>
    </row>
    <row r="182" spans="1:6" ht="33.75" customHeight="1">
      <c r="A182" s="40">
        <v>179</v>
      </c>
      <c r="B182" s="45"/>
      <c r="C182" s="57"/>
      <c r="D182" s="58"/>
      <c r="E182" s="58"/>
      <c r="F182" s="21"/>
    </row>
    <row r="183" spans="1:6" ht="33.75" customHeight="1">
      <c r="A183" s="40">
        <v>180</v>
      </c>
      <c r="B183" s="45"/>
      <c r="C183" s="57"/>
      <c r="D183" s="58"/>
      <c r="E183" s="58"/>
      <c r="F183" s="21"/>
    </row>
    <row r="184" spans="1:6" ht="33.75" customHeight="1">
      <c r="A184" s="40">
        <v>181</v>
      </c>
      <c r="B184" s="45"/>
      <c r="C184" s="57"/>
      <c r="D184" s="58"/>
      <c r="E184" s="58"/>
      <c r="F184" s="21"/>
    </row>
    <row r="185" spans="1:6" ht="33.75" customHeight="1">
      <c r="A185" s="40">
        <v>182</v>
      </c>
      <c r="B185" s="45"/>
      <c r="C185" s="57"/>
      <c r="D185" s="58"/>
      <c r="E185" s="58"/>
      <c r="F185" s="21"/>
    </row>
    <row r="186" spans="1:6" ht="33.75" customHeight="1">
      <c r="A186" s="40">
        <v>183</v>
      </c>
      <c r="B186" s="45"/>
      <c r="C186" s="57"/>
      <c r="D186" s="58"/>
      <c r="E186" s="58"/>
      <c r="F186" s="21"/>
    </row>
    <row r="187" spans="1:6" ht="33.75" customHeight="1">
      <c r="A187" s="40">
        <v>184</v>
      </c>
      <c r="B187" s="45"/>
      <c r="C187" s="57"/>
      <c r="D187" s="58"/>
      <c r="E187" s="58"/>
      <c r="F187" s="21"/>
    </row>
    <row r="188" spans="1:6" ht="33.75" customHeight="1">
      <c r="A188" s="40">
        <v>185</v>
      </c>
      <c r="B188" s="45"/>
      <c r="C188" s="57"/>
      <c r="D188" s="58"/>
      <c r="E188" s="58"/>
      <c r="F188" s="21"/>
    </row>
    <row r="189" spans="1:6" ht="33.75" customHeight="1">
      <c r="A189" s="40">
        <v>186</v>
      </c>
      <c r="B189" s="45"/>
      <c r="C189" s="57"/>
      <c r="D189" s="58"/>
      <c r="E189" s="58"/>
      <c r="F189" s="21"/>
    </row>
    <row r="190" spans="1:6" ht="33.75" customHeight="1">
      <c r="A190" s="40">
        <v>187</v>
      </c>
      <c r="B190" s="45"/>
      <c r="C190" s="57"/>
      <c r="D190" s="58"/>
      <c r="E190" s="58"/>
      <c r="F190" s="21"/>
    </row>
    <row r="191" spans="1:6" ht="33.75" customHeight="1">
      <c r="A191" s="40">
        <v>188</v>
      </c>
      <c r="B191" s="45"/>
      <c r="C191" s="57"/>
      <c r="D191" s="58"/>
      <c r="E191" s="58"/>
      <c r="F191" s="21"/>
    </row>
    <row r="192" spans="1:6" ht="33.75" customHeight="1">
      <c r="A192" s="40">
        <v>189</v>
      </c>
      <c r="B192" s="45"/>
      <c r="C192" s="57"/>
      <c r="D192" s="58"/>
      <c r="E192" s="58"/>
      <c r="F192" s="21"/>
    </row>
    <row r="193" spans="1:6" ht="33.75" customHeight="1">
      <c r="A193" s="40">
        <v>190</v>
      </c>
      <c r="B193" s="45"/>
      <c r="C193" s="57"/>
      <c r="D193" s="58"/>
      <c r="E193" s="58"/>
      <c r="F193" s="21"/>
    </row>
    <row r="194" spans="1:6" ht="33.75" customHeight="1">
      <c r="A194" s="40">
        <v>191</v>
      </c>
      <c r="B194" s="45"/>
      <c r="C194" s="57"/>
      <c r="D194" s="58"/>
      <c r="E194" s="58"/>
      <c r="F194" s="21"/>
    </row>
    <row r="195" spans="1:6" ht="33.75" customHeight="1">
      <c r="A195" s="40">
        <v>192</v>
      </c>
      <c r="B195" s="45"/>
      <c r="C195" s="57"/>
      <c r="D195" s="58"/>
      <c r="E195" s="58"/>
      <c r="F195" s="21"/>
    </row>
    <row r="196" spans="1:6" ht="33.75" customHeight="1">
      <c r="A196" s="40">
        <v>193</v>
      </c>
      <c r="B196" s="45"/>
      <c r="C196" s="57"/>
      <c r="D196" s="58"/>
      <c r="E196" s="58"/>
      <c r="F196" s="21"/>
    </row>
    <row r="197" spans="1:6" ht="33.75" customHeight="1">
      <c r="A197" s="40">
        <v>194</v>
      </c>
      <c r="B197" s="45"/>
      <c r="C197" s="57"/>
      <c r="D197" s="58"/>
      <c r="E197" s="58"/>
      <c r="F197" s="21"/>
    </row>
    <row r="198" spans="1:6" ht="33.75" customHeight="1">
      <c r="A198" s="40">
        <v>195</v>
      </c>
      <c r="B198" s="45"/>
      <c r="C198" s="57"/>
      <c r="D198" s="58"/>
      <c r="E198" s="58"/>
      <c r="F198" s="21"/>
    </row>
    <row r="199" spans="1:6" ht="33.75" customHeight="1">
      <c r="A199" s="40">
        <v>196</v>
      </c>
      <c r="B199" s="45"/>
      <c r="C199" s="57"/>
      <c r="D199" s="58"/>
      <c r="E199" s="58"/>
      <c r="F199" s="21"/>
    </row>
    <row r="200" spans="1:6" ht="33.75" customHeight="1">
      <c r="A200" s="40">
        <v>197</v>
      </c>
      <c r="B200" s="45"/>
      <c r="C200" s="57"/>
      <c r="D200" s="58"/>
      <c r="E200" s="58"/>
      <c r="F200" s="21"/>
    </row>
    <row r="201" spans="1:6" ht="33.75" customHeight="1">
      <c r="A201" s="40">
        <v>198</v>
      </c>
      <c r="B201" s="45"/>
      <c r="C201" s="57"/>
      <c r="D201" s="58"/>
      <c r="E201" s="58"/>
      <c r="F201" s="21"/>
    </row>
    <row r="202" spans="1:6" ht="33.75" customHeight="1">
      <c r="A202" s="40">
        <v>199</v>
      </c>
      <c r="B202" s="45"/>
      <c r="C202" s="57"/>
      <c r="D202" s="58"/>
      <c r="E202" s="58"/>
      <c r="F202" s="21"/>
    </row>
    <row r="203" spans="1:6" ht="33.75" customHeight="1">
      <c r="A203" s="40">
        <v>200</v>
      </c>
      <c r="B203" s="45"/>
      <c r="C203" s="57"/>
      <c r="D203" s="58"/>
      <c r="E203" s="58"/>
      <c r="F203" s="21"/>
    </row>
    <row r="204" spans="1:6" ht="33.75" customHeight="1">
      <c r="A204" s="40">
        <v>201</v>
      </c>
      <c r="B204" s="45"/>
      <c r="C204" s="57"/>
      <c r="D204" s="58"/>
      <c r="E204" s="58"/>
      <c r="F204" s="21"/>
    </row>
    <row r="205" spans="1:6" ht="33.75" customHeight="1">
      <c r="A205" s="40">
        <v>202</v>
      </c>
      <c r="B205" s="45"/>
      <c r="C205" s="57"/>
      <c r="D205" s="58"/>
      <c r="E205" s="58"/>
      <c r="F205" s="21"/>
    </row>
    <row r="206" spans="1:6" ht="33.75" customHeight="1">
      <c r="A206" s="40">
        <v>203</v>
      </c>
      <c r="B206" s="45"/>
      <c r="C206" s="57"/>
      <c r="D206" s="58"/>
      <c r="E206" s="58"/>
      <c r="F206" s="21"/>
    </row>
    <row r="207" spans="1:6" ht="33.75" customHeight="1">
      <c r="A207" s="40">
        <v>204</v>
      </c>
      <c r="B207" s="45"/>
      <c r="C207" s="57"/>
      <c r="D207" s="58"/>
      <c r="E207" s="58"/>
      <c r="F207" s="21"/>
    </row>
    <row r="208" spans="1:6" ht="33.75" customHeight="1" thickBot="1">
      <c r="A208" s="48"/>
      <c r="B208" s="51"/>
      <c r="C208" s="52"/>
      <c r="D208" s="49"/>
      <c r="E208" s="50"/>
      <c r="F208" s="54"/>
    </row>
    <row r="209" ht="15" thickTop="1"/>
    <row r="1048576" spans="3:3" ht="20">
      <c r="C1048576" s="43" t="s">
        <v>131</v>
      </c>
    </row>
  </sheetData>
  <mergeCells count="3">
    <mergeCell ref="A1:F1"/>
    <mergeCell ref="E2:F2"/>
    <mergeCell ref="H3:J3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7073-8C74-4840-AFBA-7333CE7039A8}">
  <dimension ref="C1:H453"/>
  <sheetViews>
    <sheetView topLeftCell="A416" workbookViewId="0">
      <selection activeCell="J23" sqref="J23"/>
    </sheetView>
  </sheetViews>
  <sheetFormatPr baseColWidth="10" defaultRowHeight="14"/>
  <sheetData>
    <row r="1" spans="3:8" ht="20">
      <c r="F1" s="42" t="s">
        <v>57</v>
      </c>
      <c r="H1" s="42" t="s">
        <v>91</v>
      </c>
    </row>
    <row r="2" spans="3:8" ht="21">
      <c r="F2" s="43" t="s">
        <v>57</v>
      </c>
      <c r="H2" s="23" t="s">
        <v>112</v>
      </c>
    </row>
    <row r="3" spans="3:8" ht="20">
      <c r="F3" s="43" t="s">
        <v>57</v>
      </c>
      <c r="H3" s="43" t="s">
        <v>112</v>
      </c>
    </row>
    <row r="4" spans="3:8" ht="20">
      <c r="F4" s="43" t="s">
        <v>57</v>
      </c>
      <c r="H4" s="43" t="s">
        <v>112</v>
      </c>
    </row>
    <row r="5" spans="3:8" ht="20">
      <c r="F5" s="43" t="s">
        <v>57</v>
      </c>
      <c r="H5" s="43" t="s">
        <v>112</v>
      </c>
    </row>
    <row r="6" spans="3:8" ht="20">
      <c r="F6" s="57" t="s">
        <v>57</v>
      </c>
      <c r="H6" s="57" t="s">
        <v>112</v>
      </c>
    </row>
    <row r="7" spans="3:8" ht="20">
      <c r="F7" s="57" t="s">
        <v>57</v>
      </c>
      <c r="H7" s="57" t="s">
        <v>112</v>
      </c>
    </row>
    <row r="8" spans="3:8" ht="20">
      <c r="F8" s="57" t="s">
        <v>57</v>
      </c>
      <c r="H8" s="57" t="s">
        <v>112</v>
      </c>
    </row>
    <row r="9" spans="3:8" ht="20">
      <c r="F9" s="43" t="s">
        <v>57</v>
      </c>
      <c r="H9" s="43" t="s">
        <v>112</v>
      </c>
    </row>
    <row r="10" spans="3:8" ht="21">
      <c r="C10" s="83" t="s">
        <v>70</v>
      </c>
      <c r="D10" s="41"/>
      <c r="E10" s="41"/>
      <c r="F10" s="43" t="s">
        <v>57</v>
      </c>
      <c r="H10" s="43" t="s">
        <v>112</v>
      </c>
    </row>
    <row r="11" spans="3:8" ht="21">
      <c r="C11" s="23" t="s">
        <v>57</v>
      </c>
      <c r="F11" s="43" t="s">
        <v>57</v>
      </c>
      <c r="H11" s="43" t="s">
        <v>112</v>
      </c>
    </row>
    <row r="12" spans="3:8" ht="20">
      <c r="C12" s="43" t="s">
        <v>57</v>
      </c>
      <c r="F12" s="43" t="s">
        <v>57</v>
      </c>
      <c r="H12" s="43" t="s">
        <v>112</v>
      </c>
    </row>
    <row r="13" spans="3:8" ht="20">
      <c r="C13" s="43" t="s">
        <v>57</v>
      </c>
      <c r="F13" s="43" t="s">
        <v>57</v>
      </c>
      <c r="H13" s="43" t="s">
        <v>112</v>
      </c>
    </row>
    <row r="14" spans="3:8" ht="20">
      <c r="C14" s="43" t="s">
        <v>57</v>
      </c>
      <c r="F14" s="43" t="s">
        <v>57</v>
      </c>
      <c r="H14" s="43" t="s">
        <v>112</v>
      </c>
    </row>
    <row r="15" spans="3:8" ht="20">
      <c r="C15" s="57" t="s">
        <v>57</v>
      </c>
      <c r="F15" s="43" t="s">
        <v>57</v>
      </c>
      <c r="H15" s="43" t="s">
        <v>112</v>
      </c>
    </row>
    <row r="16" spans="3:8" ht="20">
      <c r="C16" s="57" t="s">
        <v>57</v>
      </c>
      <c r="F16" s="43" t="s">
        <v>57</v>
      </c>
      <c r="H16" s="43" t="s">
        <v>112</v>
      </c>
    </row>
    <row r="17" spans="3:8" ht="20">
      <c r="C17" s="57" t="s">
        <v>57</v>
      </c>
      <c r="F17" s="43" t="s">
        <v>57</v>
      </c>
      <c r="H17" s="43" t="s">
        <v>112</v>
      </c>
    </row>
    <row r="18" spans="3:8" ht="20">
      <c r="C18" s="43" t="s">
        <v>57</v>
      </c>
      <c r="F18" s="43" t="s">
        <v>57</v>
      </c>
      <c r="H18" s="43" t="s">
        <v>112</v>
      </c>
    </row>
    <row r="19" spans="3:8" ht="20">
      <c r="C19" s="43" t="s">
        <v>57</v>
      </c>
      <c r="F19" s="43" t="s">
        <v>57</v>
      </c>
      <c r="H19" s="43" t="s">
        <v>112</v>
      </c>
    </row>
    <row r="20" spans="3:8" ht="20">
      <c r="C20" s="43" t="s">
        <v>57</v>
      </c>
      <c r="F20" s="43" t="s">
        <v>57</v>
      </c>
      <c r="H20" s="43" t="s">
        <v>112</v>
      </c>
    </row>
    <row r="21" spans="3:8" ht="20">
      <c r="C21" s="43" t="s">
        <v>57</v>
      </c>
      <c r="F21" s="43" t="s">
        <v>57</v>
      </c>
      <c r="H21" s="43" t="s">
        <v>112</v>
      </c>
    </row>
    <row r="22" spans="3:8" ht="20">
      <c r="C22" s="43" t="s">
        <v>57</v>
      </c>
      <c r="F22" s="43" t="s">
        <v>57</v>
      </c>
      <c r="H22" s="43" t="s">
        <v>112</v>
      </c>
    </row>
    <row r="23" spans="3:8" ht="20">
      <c r="C23" s="43" t="s">
        <v>57</v>
      </c>
      <c r="F23" s="43" t="s">
        <v>57</v>
      </c>
      <c r="H23" s="43" t="s">
        <v>112</v>
      </c>
    </row>
    <row r="24" spans="3:8" ht="20">
      <c r="C24" s="43" t="s">
        <v>57</v>
      </c>
      <c r="F24" s="43" t="s">
        <v>57</v>
      </c>
      <c r="H24" s="43" t="s">
        <v>112</v>
      </c>
    </row>
    <row r="25" spans="3:8" ht="21">
      <c r="C25" s="43" t="s">
        <v>57</v>
      </c>
      <c r="F25" s="43" t="s">
        <v>57</v>
      </c>
      <c r="H25" s="23" t="s">
        <v>112</v>
      </c>
    </row>
    <row r="26" spans="3:8" ht="20">
      <c r="C26" s="43" t="s">
        <v>57</v>
      </c>
      <c r="F26" s="43" t="s">
        <v>57</v>
      </c>
      <c r="H26" s="43" t="s">
        <v>112</v>
      </c>
    </row>
    <row r="27" spans="3:8" ht="20">
      <c r="C27" s="43" t="s">
        <v>57</v>
      </c>
      <c r="F27" s="43" t="s">
        <v>57</v>
      </c>
      <c r="H27" s="43" t="s">
        <v>112</v>
      </c>
    </row>
    <row r="28" spans="3:8" ht="20">
      <c r="C28" s="43" t="s">
        <v>57</v>
      </c>
      <c r="F28" s="43" t="s">
        <v>57</v>
      </c>
      <c r="H28" s="43" t="s">
        <v>112</v>
      </c>
    </row>
    <row r="29" spans="3:8" ht="20">
      <c r="C29" s="43" t="s">
        <v>57</v>
      </c>
      <c r="F29" s="43" t="s">
        <v>57</v>
      </c>
      <c r="H29" s="43" t="s">
        <v>112</v>
      </c>
    </row>
    <row r="30" spans="3:8" ht="21">
      <c r="C30" s="43" t="s">
        <v>57</v>
      </c>
      <c r="F30" s="43" t="s">
        <v>57</v>
      </c>
      <c r="H30" s="23" t="s">
        <v>112</v>
      </c>
    </row>
    <row r="31" spans="3:8" ht="21">
      <c r="C31" s="43" t="s">
        <v>57</v>
      </c>
      <c r="F31" s="43" t="s">
        <v>57</v>
      </c>
      <c r="H31" s="23" t="s">
        <v>112</v>
      </c>
    </row>
    <row r="32" spans="3:8" ht="21">
      <c r="C32" s="43" t="s">
        <v>57</v>
      </c>
      <c r="F32" s="43" t="s">
        <v>57</v>
      </c>
      <c r="H32" s="23" t="s">
        <v>112</v>
      </c>
    </row>
    <row r="33" spans="3:8" ht="21">
      <c r="C33" s="43" t="s">
        <v>57</v>
      </c>
      <c r="F33" s="43" t="s">
        <v>57</v>
      </c>
      <c r="H33" s="23" t="s">
        <v>112</v>
      </c>
    </row>
    <row r="34" spans="3:8" ht="21">
      <c r="C34" s="43" t="s">
        <v>57</v>
      </c>
      <c r="F34" s="43" t="s">
        <v>57</v>
      </c>
      <c r="H34" s="23" t="s">
        <v>112</v>
      </c>
    </row>
    <row r="35" spans="3:8" ht="21">
      <c r="C35" s="43" t="s">
        <v>57</v>
      </c>
      <c r="F35" s="43" t="s">
        <v>57</v>
      </c>
      <c r="H35" s="23" t="s">
        <v>112</v>
      </c>
    </row>
    <row r="36" spans="3:8" ht="21">
      <c r="C36" s="23" t="s">
        <v>57</v>
      </c>
      <c r="F36" s="43" t="s">
        <v>57</v>
      </c>
      <c r="H36" s="23" t="s">
        <v>112</v>
      </c>
    </row>
    <row r="37" spans="3:8" ht="21">
      <c r="C37" s="23" t="s">
        <v>57</v>
      </c>
      <c r="F37" s="43" t="s">
        <v>57</v>
      </c>
      <c r="H37" s="23" t="s">
        <v>112</v>
      </c>
    </row>
    <row r="38" spans="3:8" ht="21">
      <c r="C38" s="23" t="s">
        <v>57</v>
      </c>
      <c r="F38" s="43" t="s">
        <v>57</v>
      </c>
      <c r="H38" s="23" t="s">
        <v>112</v>
      </c>
    </row>
    <row r="39" spans="3:8" ht="21">
      <c r="C39" s="23" t="s">
        <v>57</v>
      </c>
      <c r="F39" s="23" t="s">
        <v>57</v>
      </c>
      <c r="H39" s="23" t="s">
        <v>112</v>
      </c>
    </row>
    <row r="40" spans="3:8" ht="21">
      <c r="C40" s="23" t="s">
        <v>57</v>
      </c>
      <c r="F40" s="23" t="s">
        <v>57</v>
      </c>
      <c r="H40" s="23" t="s">
        <v>112</v>
      </c>
    </row>
    <row r="41" spans="3:8" ht="21">
      <c r="C41" s="23" t="s">
        <v>57</v>
      </c>
      <c r="F41" s="23" t="s">
        <v>57</v>
      </c>
      <c r="H41" s="23" t="s">
        <v>112</v>
      </c>
    </row>
    <row r="42" spans="3:8" ht="21">
      <c r="C42" s="23" t="s">
        <v>57</v>
      </c>
      <c r="F42" s="23" t="s">
        <v>57</v>
      </c>
      <c r="H42" s="23" t="s">
        <v>112</v>
      </c>
    </row>
    <row r="43" spans="3:8" ht="21">
      <c r="C43" s="23" t="s">
        <v>57</v>
      </c>
      <c r="F43" s="23" t="s">
        <v>57</v>
      </c>
      <c r="H43" s="23" t="s">
        <v>112</v>
      </c>
    </row>
    <row r="44" spans="3:8" ht="21">
      <c r="C44" s="23" t="s">
        <v>57</v>
      </c>
      <c r="F44" s="23" t="s">
        <v>57</v>
      </c>
      <c r="H44" s="23" t="s">
        <v>112</v>
      </c>
    </row>
    <row r="45" spans="3:8" ht="21">
      <c r="C45" s="23" t="s">
        <v>57</v>
      </c>
      <c r="F45" s="23" t="s">
        <v>57</v>
      </c>
      <c r="H45" s="23" t="s">
        <v>112</v>
      </c>
    </row>
    <row r="46" spans="3:8" ht="21">
      <c r="C46" s="23" t="s">
        <v>57</v>
      </c>
      <c r="F46" s="23" t="s">
        <v>57</v>
      </c>
      <c r="H46" s="23" t="s">
        <v>112</v>
      </c>
    </row>
    <row r="47" spans="3:8" ht="21">
      <c r="C47" s="23" t="s">
        <v>57</v>
      </c>
      <c r="F47" s="23" t="s">
        <v>57</v>
      </c>
      <c r="H47" s="23" t="s">
        <v>112</v>
      </c>
    </row>
    <row r="48" spans="3:8" ht="21">
      <c r="C48" s="23" t="s">
        <v>57</v>
      </c>
      <c r="F48" s="23" t="s">
        <v>57</v>
      </c>
      <c r="H48" s="23" t="s">
        <v>112</v>
      </c>
    </row>
    <row r="49" spans="3:8" ht="21">
      <c r="C49" s="23" t="s">
        <v>57</v>
      </c>
      <c r="F49" s="23" t="s">
        <v>57</v>
      </c>
      <c r="H49" s="23" t="s">
        <v>112</v>
      </c>
    </row>
    <row r="50" spans="3:8" ht="21">
      <c r="C50" s="23" t="s">
        <v>57</v>
      </c>
      <c r="F50" s="23" t="s">
        <v>57</v>
      </c>
      <c r="H50" s="23" t="s">
        <v>112</v>
      </c>
    </row>
    <row r="51" spans="3:8" ht="21">
      <c r="C51" s="23" t="s">
        <v>57</v>
      </c>
      <c r="F51" s="23" t="s">
        <v>57</v>
      </c>
      <c r="H51" s="23" t="s">
        <v>112</v>
      </c>
    </row>
    <row r="52" spans="3:8" ht="21">
      <c r="C52" s="23" t="s">
        <v>57</v>
      </c>
      <c r="F52" s="23" t="s">
        <v>57</v>
      </c>
      <c r="H52" s="23" t="s">
        <v>112</v>
      </c>
    </row>
    <row r="53" spans="3:8" ht="21">
      <c r="C53" s="23" t="s">
        <v>57</v>
      </c>
      <c r="F53" s="23" t="s">
        <v>57</v>
      </c>
      <c r="H53" s="23" t="s">
        <v>112</v>
      </c>
    </row>
    <row r="54" spans="3:8" ht="21">
      <c r="C54" s="23" t="s">
        <v>57</v>
      </c>
      <c r="F54" s="23" t="s">
        <v>57</v>
      </c>
      <c r="H54" s="23" t="s">
        <v>112</v>
      </c>
    </row>
    <row r="55" spans="3:8" ht="21">
      <c r="C55" s="23" t="s">
        <v>57</v>
      </c>
      <c r="F55" s="23" t="s">
        <v>57</v>
      </c>
      <c r="H55" s="23" t="s">
        <v>112</v>
      </c>
    </row>
    <row r="56" spans="3:8" ht="21">
      <c r="C56" s="23" t="s">
        <v>57</v>
      </c>
      <c r="F56" s="23" t="s">
        <v>57</v>
      </c>
      <c r="H56" s="23" t="s">
        <v>112</v>
      </c>
    </row>
    <row r="57" spans="3:8" ht="21">
      <c r="C57" s="23" t="s">
        <v>57</v>
      </c>
      <c r="F57" s="23" t="s">
        <v>57</v>
      </c>
      <c r="H57" s="23" t="s">
        <v>112</v>
      </c>
    </row>
    <row r="58" spans="3:8" ht="21">
      <c r="C58" s="23" t="s">
        <v>57</v>
      </c>
      <c r="F58" s="23" t="s">
        <v>57</v>
      </c>
      <c r="H58" s="23" t="s">
        <v>112</v>
      </c>
    </row>
    <row r="59" spans="3:8" ht="21">
      <c r="C59" s="23" t="s">
        <v>41</v>
      </c>
      <c r="F59" s="23" t="s">
        <v>57</v>
      </c>
      <c r="H59" s="23" t="s">
        <v>112</v>
      </c>
    </row>
    <row r="60" spans="3:8" ht="21">
      <c r="C60" s="23" t="s">
        <v>41</v>
      </c>
      <c r="F60" s="23" t="s">
        <v>57</v>
      </c>
      <c r="H60" s="23" t="s">
        <v>112</v>
      </c>
    </row>
    <row r="61" spans="3:8" ht="21">
      <c r="C61" s="23" t="s">
        <v>41</v>
      </c>
      <c r="F61" s="23" t="s">
        <v>57</v>
      </c>
      <c r="H61" s="23" t="s">
        <v>112</v>
      </c>
    </row>
    <row r="62" spans="3:8" ht="21">
      <c r="C62" s="23" t="s">
        <v>41</v>
      </c>
      <c r="F62" s="23" t="s">
        <v>57</v>
      </c>
      <c r="H62" s="23" t="s">
        <v>112</v>
      </c>
    </row>
    <row r="63" spans="3:8" ht="21">
      <c r="C63" s="23" t="s">
        <v>41</v>
      </c>
      <c r="F63" s="23" t="s">
        <v>57</v>
      </c>
      <c r="H63" s="23" t="s">
        <v>112</v>
      </c>
    </row>
    <row r="64" spans="3:8" ht="21">
      <c r="C64" s="23" t="s">
        <v>41</v>
      </c>
      <c r="F64" s="23" t="s">
        <v>57</v>
      </c>
      <c r="H64" s="23" t="s">
        <v>112</v>
      </c>
    </row>
    <row r="65" spans="3:8" ht="21">
      <c r="C65" s="43" t="s">
        <v>42</v>
      </c>
      <c r="F65" s="23" t="s">
        <v>57</v>
      </c>
      <c r="H65" s="23" t="s">
        <v>112</v>
      </c>
    </row>
    <row r="66" spans="3:8" ht="21">
      <c r="C66" s="23" t="s">
        <v>42</v>
      </c>
      <c r="F66" s="23" t="s">
        <v>57</v>
      </c>
      <c r="H66" s="23" t="s">
        <v>112</v>
      </c>
    </row>
    <row r="67" spans="3:8" ht="21">
      <c r="C67" s="23" t="s">
        <v>42</v>
      </c>
      <c r="F67" s="23" t="s">
        <v>57</v>
      </c>
      <c r="H67" s="23" t="s">
        <v>112</v>
      </c>
    </row>
    <row r="68" spans="3:8" ht="21">
      <c r="C68" s="23" t="s">
        <v>42</v>
      </c>
      <c r="F68" s="23" t="s">
        <v>57</v>
      </c>
      <c r="H68" s="23" t="s">
        <v>112</v>
      </c>
    </row>
    <row r="69" spans="3:8" ht="21">
      <c r="C69" s="23" t="s">
        <v>50</v>
      </c>
      <c r="F69" s="23" t="s">
        <v>57</v>
      </c>
      <c r="H69" s="43" t="s">
        <v>96</v>
      </c>
    </row>
    <row r="70" spans="3:8" ht="21">
      <c r="C70" s="23" t="s">
        <v>50</v>
      </c>
      <c r="F70" s="23" t="s">
        <v>57</v>
      </c>
      <c r="H70" s="23" t="s">
        <v>96</v>
      </c>
    </row>
    <row r="71" spans="3:8" ht="21">
      <c r="C71" s="23" t="s">
        <v>50</v>
      </c>
      <c r="F71" s="23" t="s">
        <v>57</v>
      </c>
      <c r="H71" s="23" t="s">
        <v>96</v>
      </c>
    </row>
    <row r="72" spans="3:8" ht="21">
      <c r="C72" s="23" t="s">
        <v>146</v>
      </c>
      <c r="F72" s="23" t="s">
        <v>57</v>
      </c>
      <c r="H72" s="23" t="s">
        <v>96</v>
      </c>
    </row>
    <row r="73" spans="3:8" ht="21">
      <c r="C73" s="43" t="s">
        <v>40</v>
      </c>
      <c r="F73" s="43" t="s">
        <v>41</v>
      </c>
      <c r="H73" s="23" t="s">
        <v>96</v>
      </c>
    </row>
    <row r="74" spans="3:8" ht="21">
      <c r="C74" s="43" t="s">
        <v>40</v>
      </c>
      <c r="F74" s="43" t="s">
        <v>41</v>
      </c>
      <c r="H74" s="23" t="s">
        <v>96</v>
      </c>
    </row>
    <row r="75" spans="3:8" ht="21">
      <c r="C75" s="43" t="s">
        <v>40</v>
      </c>
      <c r="F75" s="23" t="s">
        <v>41</v>
      </c>
      <c r="H75" s="23" t="s">
        <v>97</v>
      </c>
    </row>
    <row r="76" spans="3:8" ht="21">
      <c r="C76" s="43" t="s">
        <v>40</v>
      </c>
      <c r="F76" s="23" t="s">
        <v>41</v>
      </c>
      <c r="H76" s="23" t="s">
        <v>97</v>
      </c>
    </row>
    <row r="77" spans="3:8" ht="21">
      <c r="C77" s="23" t="s">
        <v>40</v>
      </c>
      <c r="F77" s="23" t="s">
        <v>41</v>
      </c>
      <c r="H77" s="23" t="s">
        <v>97</v>
      </c>
    </row>
    <row r="78" spans="3:8" ht="21">
      <c r="C78" s="23" t="s">
        <v>40</v>
      </c>
      <c r="F78" s="23" t="s">
        <v>41</v>
      </c>
      <c r="H78" s="43" t="s">
        <v>105</v>
      </c>
    </row>
    <row r="79" spans="3:8" ht="21">
      <c r="C79" s="23" t="s">
        <v>40</v>
      </c>
      <c r="F79" s="23" t="s">
        <v>41</v>
      </c>
      <c r="H79" s="23" t="s">
        <v>105</v>
      </c>
    </row>
    <row r="80" spans="3:8" ht="21">
      <c r="C80" s="23" t="s">
        <v>40</v>
      </c>
      <c r="F80" s="43" t="s">
        <v>42</v>
      </c>
      <c r="H80" s="23" t="s">
        <v>105</v>
      </c>
    </row>
    <row r="81" spans="3:8" ht="21">
      <c r="C81" s="23" t="s">
        <v>40</v>
      </c>
      <c r="F81" s="23" t="s">
        <v>42</v>
      </c>
      <c r="H81" s="23" t="s">
        <v>105</v>
      </c>
    </row>
    <row r="82" spans="3:8" ht="21">
      <c r="C82" s="23" t="s">
        <v>40</v>
      </c>
      <c r="F82" s="23" t="s">
        <v>42</v>
      </c>
      <c r="H82" s="23" t="s">
        <v>105</v>
      </c>
    </row>
    <row r="83" spans="3:8" ht="21">
      <c r="C83" s="23" t="s">
        <v>40</v>
      </c>
      <c r="F83" s="23" t="s">
        <v>147</v>
      </c>
      <c r="H83" s="43" t="s">
        <v>95</v>
      </c>
    </row>
    <row r="84" spans="3:8" ht="21">
      <c r="C84" s="23" t="s">
        <v>40</v>
      </c>
      <c r="F84" s="23" t="s">
        <v>145</v>
      </c>
      <c r="H84" s="43" t="s">
        <v>95</v>
      </c>
    </row>
    <row r="85" spans="3:8" ht="21">
      <c r="C85" s="23" t="s">
        <v>40</v>
      </c>
      <c r="F85" s="43" t="s">
        <v>50</v>
      </c>
      <c r="H85" s="43" t="s">
        <v>95</v>
      </c>
    </row>
    <row r="86" spans="3:8" ht="21">
      <c r="C86" s="23" t="s">
        <v>40</v>
      </c>
      <c r="F86" s="23" t="s">
        <v>50</v>
      </c>
      <c r="H86" s="43" t="s">
        <v>95</v>
      </c>
    </row>
    <row r="87" spans="3:8" ht="21">
      <c r="C87" s="23" t="s">
        <v>40</v>
      </c>
      <c r="F87" s="23" t="s">
        <v>50</v>
      </c>
      <c r="H87" s="43" t="s">
        <v>95</v>
      </c>
    </row>
    <row r="88" spans="3:8" ht="21">
      <c r="C88" s="23" t="s">
        <v>40</v>
      </c>
      <c r="F88" s="23" t="s">
        <v>50</v>
      </c>
      <c r="H88" s="43" t="s">
        <v>95</v>
      </c>
    </row>
    <row r="89" spans="3:8" ht="21">
      <c r="C89" s="23" t="s">
        <v>40</v>
      </c>
      <c r="F89" s="23" t="s">
        <v>50</v>
      </c>
      <c r="H89" s="23" t="s">
        <v>95</v>
      </c>
    </row>
    <row r="90" spans="3:8" ht="21">
      <c r="C90" s="23" t="s">
        <v>40</v>
      </c>
      <c r="F90" s="23" t="s">
        <v>50</v>
      </c>
      <c r="H90" s="23" t="s">
        <v>95</v>
      </c>
    </row>
    <row r="91" spans="3:8" ht="21">
      <c r="C91" s="23" t="s">
        <v>40</v>
      </c>
      <c r="F91" s="43" t="s">
        <v>40</v>
      </c>
      <c r="H91" s="23" t="s">
        <v>95</v>
      </c>
    </row>
    <row r="92" spans="3:8" ht="21">
      <c r="C92" s="23" t="s">
        <v>58</v>
      </c>
      <c r="F92" s="43" t="s">
        <v>40</v>
      </c>
      <c r="H92" s="23" t="s">
        <v>95</v>
      </c>
    </row>
    <row r="93" spans="3:8" ht="21">
      <c r="C93" s="43" t="s">
        <v>27</v>
      </c>
      <c r="F93" s="43" t="s">
        <v>40</v>
      </c>
      <c r="H93" s="23" t="s">
        <v>95</v>
      </c>
    </row>
    <row r="94" spans="3:8" ht="21">
      <c r="C94" s="43" t="s">
        <v>27</v>
      </c>
      <c r="F94" s="43" t="s">
        <v>40</v>
      </c>
      <c r="H94" s="23" t="s">
        <v>95</v>
      </c>
    </row>
    <row r="95" spans="3:8" ht="21">
      <c r="C95" s="43" t="s">
        <v>27</v>
      </c>
      <c r="F95" s="43" t="s">
        <v>40</v>
      </c>
      <c r="H95" s="23" t="s">
        <v>95</v>
      </c>
    </row>
    <row r="96" spans="3:8" ht="21">
      <c r="C96" s="43" t="s">
        <v>27</v>
      </c>
      <c r="F96" s="43" t="s">
        <v>40</v>
      </c>
      <c r="H96" s="23" t="s">
        <v>95</v>
      </c>
    </row>
    <row r="97" spans="3:8" ht="21">
      <c r="C97" s="43" t="s">
        <v>27</v>
      </c>
      <c r="F97" s="43" t="s">
        <v>40</v>
      </c>
      <c r="H97" s="23" t="s">
        <v>95</v>
      </c>
    </row>
    <row r="98" spans="3:8" ht="21">
      <c r="C98" s="43" t="s">
        <v>27</v>
      </c>
      <c r="F98" s="23" t="s">
        <v>40</v>
      </c>
      <c r="H98" s="23" t="s">
        <v>95</v>
      </c>
    </row>
    <row r="99" spans="3:8" ht="21">
      <c r="C99" s="23" t="s">
        <v>27</v>
      </c>
      <c r="F99" s="23" t="s">
        <v>40</v>
      </c>
      <c r="H99" s="23" t="s">
        <v>95</v>
      </c>
    </row>
    <row r="100" spans="3:8" ht="21">
      <c r="C100" s="23" t="s">
        <v>27</v>
      </c>
      <c r="F100" s="23" t="s">
        <v>40</v>
      </c>
      <c r="H100" s="23" t="s">
        <v>95</v>
      </c>
    </row>
    <row r="101" spans="3:8" ht="21">
      <c r="C101" s="23" t="s">
        <v>27</v>
      </c>
      <c r="F101" s="23" t="s">
        <v>40</v>
      </c>
      <c r="H101" s="23" t="s">
        <v>95</v>
      </c>
    </row>
    <row r="102" spans="3:8" ht="21">
      <c r="C102" s="23" t="s">
        <v>27</v>
      </c>
      <c r="F102" s="23" t="s">
        <v>40</v>
      </c>
      <c r="H102" s="23" t="s">
        <v>95</v>
      </c>
    </row>
    <row r="103" spans="3:8" ht="21">
      <c r="C103" s="23" t="s">
        <v>59</v>
      </c>
      <c r="F103" s="23" t="s">
        <v>40</v>
      </c>
      <c r="H103" s="23" t="s">
        <v>95</v>
      </c>
    </row>
    <row r="104" spans="3:8" ht="21">
      <c r="C104" s="23" t="s">
        <v>59</v>
      </c>
      <c r="F104" s="23" t="s">
        <v>40</v>
      </c>
      <c r="H104" s="23" t="s">
        <v>95</v>
      </c>
    </row>
    <row r="105" spans="3:8" ht="21">
      <c r="C105" s="23" t="s">
        <v>59</v>
      </c>
      <c r="F105" s="23" t="s">
        <v>40</v>
      </c>
      <c r="H105" s="23" t="s">
        <v>95</v>
      </c>
    </row>
    <row r="106" spans="3:8" ht="21">
      <c r="C106" s="23" t="s">
        <v>59</v>
      </c>
      <c r="F106" s="23" t="s">
        <v>40</v>
      </c>
      <c r="H106" s="23" t="s">
        <v>95</v>
      </c>
    </row>
    <row r="107" spans="3:8" ht="21">
      <c r="C107" s="23" t="s">
        <v>59</v>
      </c>
      <c r="F107" s="23" t="s">
        <v>40</v>
      </c>
      <c r="H107" s="23" t="s">
        <v>95</v>
      </c>
    </row>
    <row r="108" spans="3:8" ht="21">
      <c r="C108" s="23" t="s">
        <v>59</v>
      </c>
      <c r="F108" s="23" t="s">
        <v>40</v>
      </c>
      <c r="H108" s="23" t="s">
        <v>95</v>
      </c>
    </row>
    <row r="109" spans="3:8" ht="21">
      <c r="C109" s="23" t="s">
        <v>59</v>
      </c>
      <c r="F109" s="23" t="s">
        <v>40</v>
      </c>
      <c r="H109" s="23" t="s">
        <v>95</v>
      </c>
    </row>
    <row r="110" spans="3:8" ht="21">
      <c r="C110" s="23" t="s">
        <v>59</v>
      </c>
      <c r="F110" s="23" t="s">
        <v>40</v>
      </c>
      <c r="H110" s="23" t="s">
        <v>95</v>
      </c>
    </row>
    <row r="111" spans="3:8" ht="21">
      <c r="C111" s="23" t="s">
        <v>59</v>
      </c>
      <c r="F111" s="23" t="s">
        <v>40</v>
      </c>
      <c r="H111" s="23" t="s">
        <v>113</v>
      </c>
    </row>
    <row r="112" spans="3:8" ht="21">
      <c r="C112" s="43" t="s">
        <v>33</v>
      </c>
      <c r="F112" s="23" t="s">
        <v>40</v>
      </c>
      <c r="H112" s="43" t="s">
        <v>83</v>
      </c>
    </row>
    <row r="113" spans="3:8" ht="21">
      <c r="C113" s="43" t="s">
        <v>33</v>
      </c>
      <c r="F113" s="23" t="s">
        <v>40</v>
      </c>
      <c r="H113" s="43" t="s">
        <v>83</v>
      </c>
    </row>
    <row r="114" spans="3:8" ht="21">
      <c r="C114" s="43" t="s">
        <v>33</v>
      </c>
      <c r="F114" s="23" t="s">
        <v>40</v>
      </c>
      <c r="H114" s="43" t="s">
        <v>83</v>
      </c>
    </row>
    <row r="115" spans="3:8" ht="21">
      <c r="C115" s="43" t="s">
        <v>33</v>
      </c>
      <c r="F115" s="23" t="s">
        <v>40</v>
      </c>
      <c r="H115" s="43" t="s">
        <v>83</v>
      </c>
    </row>
    <row r="116" spans="3:8" ht="21">
      <c r="C116" s="43" t="s">
        <v>33</v>
      </c>
      <c r="F116" s="23" t="s">
        <v>40</v>
      </c>
      <c r="H116" s="43" t="s">
        <v>83</v>
      </c>
    </row>
    <row r="117" spans="3:8" ht="21">
      <c r="C117" s="43" t="s">
        <v>33</v>
      </c>
      <c r="F117" s="23" t="s">
        <v>40</v>
      </c>
      <c r="H117" s="43" t="s">
        <v>83</v>
      </c>
    </row>
    <row r="118" spans="3:8" ht="21">
      <c r="C118" s="85" t="s">
        <v>33</v>
      </c>
      <c r="F118" s="23" t="s">
        <v>40</v>
      </c>
      <c r="H118" s="23" t="s">
        <v>83</v>
      </c>
    </row>
    <row r="119" spans="3:8" ht="21">
      <c r="C119" s="85" t="s">
        <v>33</v>
      </c>
      <c r="F119" s="23" t="s">
        <v>40</v>
      </c>
      <c r="H119" s="23" t="s">
        <v>83</v>
      </c>
    </row>
    <row r="120" spans="3:8" ht="21">
      <c r="C120" s="85" t="s">
        <v>33</v>
      </c>
      <c r="F120" s="23" t="s">
        <v>40</v>
      </c>
      <c r="H120" s="23" t="s">
        <v>83</v>
      </c>
    </row>
    <row r="121" spans="3:8" ht="21">
      <c r="C121" s="85" t="s">
        <v>33</v>
      </c>
      <c r="F121" s="23" t="s">
        <v>40</v>
      </c>
      <c r="H121" s="43" t="s">
        <v>114</v>
      </c>
    </row>
    <row r="122" spans="3:8" ht="21">
      <c r="C122" s="84" t="s">
        <v>33</v>
      </c>
      <c r="F122" s="86" t="s">
        <v>40</v>
      </c>
      <c r="H122" s="57" t="s">
        <v>114</v>
      </c>
    </row>
    <row r="123" spans="3:8" ht="21">
      <c r="C123" s="84" t="s">
        <v>33</v>
      </c>
      <c r="F123" s="86" t="s">
        <v>40</v>
      </c>
      <c r="H123" s="86" t="s">
        <v>114</v>
      </c>
    </row>
    <row r="124" spans="3:8" ht="21">
      <c r="C124" s="84" t="s">
        <v>33</v>
      </c>
      <c r="F124" s="86" t="s">
        <v>40</v>
      </c>
      <c r="H124" s="86" t="s">
        <v>114</v>
      </c>
    </row>
    <row r="125" spans="3:8" ht="21">
      <c r="C125" s="84" t="s">
        <v>33</v>
      </c>
      <c r="F125" s="86" t="s">
        <v>40</v>
      </c>
      <c r="H125" s="86" t="s">
        <v>114</v>
      </c>
    </row>
    <row r="126" spans="3:8" ht="21">
      <c r="C126" s="84" t="s">
        <v>33</v>
      </c>
      <c r="F126" s="86" t="s">
        <v>40</v>
      </c>
      <c r="H126" s="86" t="s">
        <v>114</v>
      </c>
    </row>
    <row r="127" spans="3:8" ht="21">
      <c r="C127" s="84" t="s">
        <v>33</v>
      </c>
      <c r="F127" s="86" t="s">
        <v>58</v>
      </c>
      <c r="H127" s="86" t="s">
        <v>114</v>
      </c>
    </row>
    <row r="128" spans="3:8" ht="21">
      <c r="C128" s="84" t="s">
        <v>33</v>
      </c>
      <c r="F128" s="43" t="s">
        <v>27</v>
      </c>
      <c r="H128" s="23" t="s">
        <v>114</v>
      </c>
    </row>
    <row r="129" spans="3:8" ht="21">
      <c r="C129" s="84" t="s">
        <v>33</v>
      </c>
      <c r="F129" s="23" t="s">
        <v>27</v>
      </c>
      <c r="H129" s="23" t="s">
        <v>114</v>
      </c>
    </row>
    <row r="130" spans="3:8" ht="21">
      <c r="C130" s="58" t="s">
        <v>33</v>
      </c>
      <c r="F130" s="57" t="s">
        <v>59</v>
      </c>
      <c r="H130" s="86" t="s">
        <v>114</v>
      </c>
    </row>
    <row r="131" spans="3:8" ht="21">
      <c r="C131" s="58" t="s">
        <v>33</v>
      </c>
      <c r="F131" s="57" t="s">
        <v>59</v>
      </c>
      <c r="H131" s="86" t="s">
        <v>114</v>
      </c>
    </row>
    <row r="132" spans="3:8" ht="21">
      <c r="C132" s="58" t="s">
        <v>33</v>
      </c>
      <c r="F132" s="86" t="s">
        <v>59</v>
      </c>
      <c r="H132" s="57" t="s">
        <v>124</v>
      </c>
    </row>
    <row r="133" spans="3:8" ht="21">
      <c r="C133" s="58" t="s">
        <v>33</v>
      </c>
      <c r="F133" s="86" t="s">
        <v>59</v>
      </c>
      <c r="H133" s="57" t="s">
        <v>89</v>
      </c>
    </row>
    <row r="134" spans="3:8" ht="21">
      <c r="C134" s="58" t="s">
        <v>33</v>
      </c>
      <c r="F134" s="86" t="s">
        <v>59</v>
      </c>
      <c r="H134" s="57" t="s">
        <v>89</v>
      </c>
    </row>
    <row r="135" spans="3:8" ht="21">
      <c r="C135" s="58" t="s">
        <v>33</v>
      </c>
      <c r="F135" s="86" t="s">
        <v>59</v>
      </c>
      <c r="H135" s="57" t="s">
        <v>89</v>
      </c>
    </row>
    <row r="136" spans="3:8" ht="21">
      <c r="C136" s="58" t="s">
        <v>33</v>
      </c>
      <c r="F136" s="86" t="s">
        <v>148</v>
      </c>
      <c r="H136" s="57" t="s">
        <v>89</v>
      </c>
    </row>
    <row r="137" spans="3:8" ht="21">
      <c r="C137" s="58" t="s">
        <v>33</v>
      </c>
      <c r="F137" s="86" t="s">
        <v>138</v>
      </c>
      <c r="H137" s="57" t="s">
        <v>89</v>
      </c>
    </row>
    <row r="138" spans="3:8" ht="21">
      <c r="C138" s="58" t="s">
        <v>33</v>
      </c>
      <c r="F138" s="86" t="s">
        <v>33</v>
      </c>
      <c r="H138" s="57" t="s">
        <v>89</v>
      </c>
    </row>
    <row r="139" spans="3:8" ht="21">
      <c r="C139" s="58" t="s">
        <v>33</v>
      </c>
      <c r="F139" s="86" t="s">
        <v>33</v>
      </c>
      <c r="H139" s="57" t="s">
        <v>89</v>
      </c>
    </row>
    <row r="140" spans="3:8" ht="21">
      <c r="C140" s="58" t="s">
        <v>33</v>
      </c>
      <c r="F140" s="57" t="s">
        <v>33</v>
      </c>
      <c r="H140" s="57" t="s">
        <v>89</v>
      </c>
    </row>
    <row r="141" spans="3:8" ht="21">
      <c r="C141" s="58" t="s">
        <v>33</v>
      </c>
      <c r="F141" s="57" t="s">
        <v>33</v>
      </c>
      <c r="H141" s="57" t="s">
        <v>89</v>
      </c>
    </row>
    <row r="142" spans="3:8" ht="21">
      <c r="C142" s="58" t="s">
        <v>33</v>
      </c>
      <c r="F142" s="57" t="s">
        <v>33</v>
      </c>
      <c r="H142" s="57" t="s">
        <v>89</v>
      </c>
    </row>
    <row r="143" spans="3:8" ht="21">
      <c r="C143" s="58" t="s">
        <v>33</v>
      </c>
      <c r="F143" s="57" t="s">
        <v>33</v>
      </c>
      <c r="H143" s="57" t="s">
        <v>89</v>
      </c>
    </row>
    <row r="144" spans="3:8" ht="21">
      <c r="C144" s="58" t="s">
        <v>33</v>
      </c>
      <c r="F144" s="57" t="s">
        <v>33</v>
      </c>
      <c r="H144" s="57" t="s">
        <v>89</v>
      </c>
    </row>
    <row r="145" spans="3:8" ht="21">
      <c r="C145" s="58" t="s">
        <v>33</v>
      </c>
      <c r="F145" s="57" t="s">
        <v>33</v>
      </c>
      <c r="H145" s="57" t="s">
        <v>89</v>
      </c>
    </row>
    <row r="146" spans="3:8" ht="21">
      <c r="C146" s="58" t="s">
        <v>33</v>
      </c>
      <c r="F146" s="57" t="s">
        <v>33</v>
      </c>
      <c r="H146" s="57" t="s">
        <v>89</v>
      </c>
    </row>
    <row r="147" spans="3:8" ht="21">
      <c r="C147" s="58" t="s">
        <v>33</v>
      </c>
      <c r="F147" s="57" t="s">
        <v>33</v>
      </c>
      <c r="H147" s="57" t="s">
        <v>89</v>
      </c>
    </row>
    <row r="148" spans="3:8" ht="21">
      <c r="C148" s="58" t="s">
        <v>33</v>
      </c>
      <c r="F148" s="57" t="s">
        <v>33</v>
      </c>
      <c r="H148" s="57" t="s">
        <v>89</v>
      </c>
    </row>
    <row r="149" spans="3:8" ht="21">
      <c r="C149" s="58" t="s">
        <v>33</v>
      </c>
      <c r="F149" s="57" t="s">
        <v>33</v>
      </c>
      <c r="H149" s="57" t="s">
        <v>89</v>
      </c>
    </row>
    <row r="150" spans="3:8" ht="21">
      <c r="C150" s="58" t="s">
        <v>33</v>
      </c>
      <c r="F150" s="57" t="s">
        <v>33</v>
      </c>
      <c r="H150" s="57" t="s">
        <v>89</v>
      </c>
    </row>
    <row r="151" spans="3:8" ht="21">
      <c r="C151" s="58" t="s">
        <v>33</v>
      </c>
      <c r="F151" s="87" t="s">
        <v>33</v>
      </c>
      <c r="H151" s="57" t="s">
        <v>89</v>
      </c>
    </row>
    <row r="152" spans="3:8" ht="21">
      <c r="C152" s="58" t="s">
        <v>33</v>
      </c>
      <c r="F152" s="85" t="s">
        <v>33</v>
      </c>
      <c r="H152" s="87" t="s">
        <v>89</v>
      </c>
    </row>
    <row r="153" spans="3:8" ht="21">
      <c r="C153" s="58" t="s">
        <v>33</v>
      </c>
      <c r="F153" s="85" t="s">
        <v>33</v>
      </c>
      <c r="H153" s="85" t="s">
        <v>89</v>
      </c>
    </row>
    <row r="154" spans="3:8" ht="21">
      <c r="C154" s="58" t="s">
        <v>33</v>
      </c>
      <c r="F154" s="85" t="s">
        <v>33</v>
      </c>
      <c r="H154" s="85" t="s">
        <v>89</v>
      </c>
    </row>
    <row r="155" spans="3:8" ht="21">
      <c r="C155" s="58" t="s">
        <v>33</v>
      </c>
      <c r="F155" s="85" t="s">
        <v>33</v>
      </c>
      <c r="H155" s="85" t="s">
        <v>89</v>
      </c>
    </row>
    <row r="156" spans="3:8" ht="21">
      <c r="C156" s="58" t="s">
        <v>33</v>
      </c>
      <c r="F156" s="84" t="s">
        <v>33</v>
      </c>
      <c r="H156" s="20" t="s">
        <v>89</v>
      </c>
    </row>
    <row r="157" spans="3:8" ht="21">
      <c r="C157" s="58" t="s">
        <v>33</v>
      </c>
      <c r="F157" s="84" t="s">
        <v>33</v>
      </c>
      <c r="H157" s="58" t="s">
        <v>89</v>
      </c>
    </row>
    <row r="158" spans="3:8" ht="21">
      <c r="C158" s="84" t="s">
        <v>46</v>
      </c>
      <c r="F158" s="84" t="s">
        <v>33</v>
      </c>
      <c r="H158" s="58" t="s">
        <v>89</v>
      </c>
    </row>
    <row r="159" spans="3:8" ht="21">
      <c r="C159" s="84" t="s">
        <v>46</v>
      </c>
      <c r="F159" s="84" t="s">
        <v>33</v>
      </c>
      <c r="H159" s="58" t="s">
        <v>89</v>
      </c>
    </row>
    <row r="160" spans="3:8" ht="21">
      <c r="C160" s="84" t="s">
        <v>46</v>
      </c>
      <c r="F160" s="84" t="s">
        <v>33</v>
      </c>
      <c r="H160" s="58" t="s">
        <v>89</v>
      </c>
    </row>
    <row r="161" spans="3:8" ht="21">
      <c r="C161" s="58" t="s">
        <v>46</v>
      </c>
      <c r="F161" s="84" t="s">
        <v>33</v>
      </c>
      <c r="H161" s="58" t="s">
        <v>89</v>
      </c>
    </row>
    <row r="162" spans="3:8" ht="21">
      <c r="C162" s="58" t="s">
        <v>46</v>
      </c>
      <c r="F162" s="84" t="s">
        <v>33</v>
      </c>
      <c r="H162" s="58" t="s">
        <v>89</v>
      </c>
    </row>
    <row r="163" spans="3:8" ht="21">
      <c r="C163" s="58" t="s">
        <v>46</v>
      </c>
      <c r="F163" s="84" t="s">
        <v>33</v>
      </c>
      <c r="H163" s="58" t="s">
        <v>89</v>
      </c>
    </row>
    <row r="164" spans="3:8" ht="21">
      <c r="C164" s="58" t="s">
        <v>46</v>
      </c>
      <c r="F164" s="84" t="s">
        <v>33</v>
      </c>
      <c r="H164" s="58" t="s">
        <v>89</v>
      </c>
    </row>
    <row r="165" spans="3:8" ht="21">
      <c r="C165" s="58" t="s">
        <v>46</v>
      </c>
      <c r="F165" s="84" t="s">
        <v>33</v>
      </c>
      <c r="H165" s="58" t="s">
        <v>89</v>
      </c>
    </row>
    <row r="166" spans="3:8" ht="21">
      <c r="C166" s="58" t="s">
        <v>31</v>
      </c>
      <c r="F166" s="58" t="s">
        <v>33</v>
      </c>
      <c r="H166" s="58" t="s">
        <v>89</v>
      </c>
    </row>
    <row r="167" spans="3:8" ht="21">
      <c r="C167" s="58" t="s">
        <v>31</v>
      </c>
      <c r="F167" s="84" t="s">
        <v>33</v>
      </c>
      <c r="H167" s="58" t="s">
        <v>89</v>
      </c>
    </row>
    <row r="168" spans="3:8" ht="21">
      <c r="C168" s="58" t="s">
        <v>31</v>
      </c>
      <c r="F168" s="84" t="s">
        <v>33</v>
      </c>
      <c r="H168" s="58" t="s">
        <v>89</v>
      </c>
    </row>
    <row r="169" spans="3:8" ht="21">
      <c r="C169" s="84" t="s">
        <v>73</v>
      </c>
      <c r="F169" s="58" t="s">
        <v>33</v>
      </c>
      <c r="H169" s="58" t="s">
        <v>89</v>
      </c>
    </row>
    <row r="170" spans="3:8" ht="21">
      <c r="C170" s="84" t="s">
        <v>73</v>
      </c>
      <c r="F170" s="58" t="s">
        <v>33</v>
      </c>
      <c r="H170" s="58" t="s">
        <v>89</v>
      </c>
    </row>
    <row r="171" spans="3:8" ht="21">
      <c r="C171" s="84" t="s">
        <v>73</v>
      </c>
      <c r="F171" s="58" t="s">
        <v>33</v>
      </c>
      <c r="H171" s="58" t="s">
        <v>89</v>
      </c>
    </row>
    <row r="172" spans="3:8" ht="21">
      <c r="C172" s="58" t="s">
        <v>73</v>
      </c>
      <c r="F172" s="58" t="s">
        <v>33</v>
      </c>
      <c r="H172" s="58" t="s">
        <v>89</v>
      </c>
    </row>
    <row r="173" spans="3:8" ht="21">
      <c r="C173" s="58" t="s">
        <v>73</v>
      </c>
      <c r="F173" s="58" t="s">
        <v>33</v>
      </c>
      <c r="H173" s="58" t="s">
        <v>89</v>
      </c>
    </row>
    <row r="174" spans="3:8" ht="21">
      <c r="C174" s="84" t="s">
        <v>38</v>
      </c>
      <c r="F174" s="58" t="s">
        <v>33</v>
      </c>
      <c r="H174" s="58" t="s">
        <v>89</v>
      </c>
    </row>
    <row r="175" spans="3:8" ht="21">
      <c r="C175" s="58" t="s">
        <v>38</v>
      </c>
      <c r="F175" s="58" t="s">
        <v>33</v>
      </c>
      <c r="H175" s="58" t="s">
        <v>89</v>
      </c>
    </row>
    <row r="176" spans="3:8" ht="21">
      <c r="C176" s="58" t="s">
        <v>38</v>
      </c>
      <c r="F176" s="58" t="s">
        <v>33</v>
      </c>
      <c r="H176" s="58" t="s">
        <v>89</v>
      </c>
    </row>
    <row r="177" spans="3:8" ht="21">
      <c r="C177" s="58" t="s">
        <v>38</v>
      </c>
      <c r="F177" s="58" t="s">
        <v>33</v>
      </c>
      <c r="H177" s="58" t="s">
        <v>89</v>
      </c>
    </row>
    <row r="178" spans="3:8" ht="21">
      <c r="C178" s="58" t="s">
        <v>38</v>
      </c>
      <c r="F178" s="58" t="s">
        <v>33</v>
      </c>
      <c r="H178" s="58" t="s">
        <v>89</v>
      </c>
    </row>
    <row r="179" spans="3:8" ht="21">
      <c r="C179" s="58" t="s">
        <v>38</v>
      </c>
      <c r="F179" s="58" t="s">
        <v>33</v>
      </c>
      <c r="H179" s="58" t="s">
        <v>89</v>
      </c>
    </row>
    <row r="180" spans="3:8" ht="21">
      <c r="C180" s="58" t="s">
        <v>38</v>
      </c>
      <c r="F180" s="58" t="s">
        <v>33</v>
      </c>
      <c r="H180" s="58" t="s">
        <v>89</v>
      </c>
    </row>
    <row r="181" spans="3:8" ht="21">
      <c r="C181" s="58" t="s">
        <v>38</v>
      </c>
      <c r="F181" s="58" t="s">
        <v>33</v>
      </c>
      <c r="H181" s="58" t="s">
        <v>89</v>
      </c>
    </row>
    <row r="182" spans="3:8" ht="21">
      <c r="C182" s="58" t="s">
        <v>38</v>
      </c>
      <c r="F182" s="58" t="s">
        <v>33</v>
      </c>
      <c r="H182" s="58" t="s">
        <v>89</v>
      </c>
    </row>
    <row r="183" spans="3:8" ht="21">
      <c r="C183" s="58" t="s">
        <v>38</v>
      </c>
      <c r="F183" s="58" t="s">
        <v>33</v>
      </c>
      <c r="H183" s="58" t="s">
        <v>89</v>
      </c>
    </row>
    <row r="184" spans="3:8" ht="21">
      <c r="C184" s="58" t="s">
        <v>38</v>
      </c>
      <c r="F184" s="58" t="s">
        <v>33</v>
      </c>
      <c r="H184" s="58" t="s">
        <v>89</v>
      </c>
    </row>
    <row r="185" spans="3:8" ht="21">
      <c r="C185" s="58" t="s">
        <v>38</v>
      </c>
      <c r="F185" s="58" t="s">
        <v>33</v>
      </c>
      <c r="H185" s="58" t="s">
        <v>89</v>
      </c>
    </row>
    <row r="186" spans="3:8" ht="21">
      <c r="C186" s="58" t="s">
        <v>38</v>
      </c>
      <c r="F186" s="58" t="s">
        <v>33</v>
      </c>
      <c r="H186" s="58" t="s">
        <v>89</v>
      </c>
    </row>
    <row r="187" spans="3:8" ht="21">
      <c r="C187" s="58" t="s">
        <v>38</v>
      </c>
      <c r="F187" s="58" t="s">
        <v>33</v>
      </c>
      <c r="H187" s="58" t="s">
        <v>89</v>
      </c>
    </row>
    <row r="188" spans="3:8" ht="21">
      <c r="C188" s="58" t="s">
        <v>38</v>
      </c>
      <c r="F188" s="58" t="s">
        <v>33</v>
      </c>
      <c r="H188" s="58" t="s">
        <v>89</v>
      </c>
    </row>
    <row r="189" spans="3:8" ht="21">
      <c r="C189" s="58" t="s">
        <v>38</v>
      </c>
      <c r="F189" s="58" t="s">
        <v>33</v>
      </c>
      <c r="H189" s="58" t="s">
        <v>89</v>
      </c>
    </row>
    <row r="190" spans="3:8" ht="21">
      <c r="C190" s="58" t="s">
        <v>38</v>
      </c>
      <c r="F190" s="58" t="s">
        <v>33</v>
      </c>
      <c r="H190" s="58" t="s">
        <v>89</v>
      </c>
    </row>
    <row r="191" spans="3:8" ht="21">
      <c r="C191" s="58" t="s">
        <v>38</v>
      </c>
      <c r="F191" s="58" t="s">
        <v>33</v>
      </c>
      <c r="H191" s="58" t="s">
        <v>89</v>
      </c>
    </row>
    <row r="192" spans="3:8" ht="21">
      <c r="C192" s="84" t="s">
        <v>36</v>
      </c>
      <c r="F192" s="58" t="s">
        <v>33</v>
      </c>
      <c r="H192" s="58" t="s">
        <v>89</v>
      </c>
    </row>
    <row r="193" spans="3:8" ht="21">
      <c r="C193" s="58" t="s">
        <v>36</v>
      </c>
      <c r="F193" s="58" t="s">
        <v>33</v>
      </c>
      <c r="H193" s="58" t="s">
        <v>89</v>
      </c>
    </row>
    <row r="194" spans="3:8" ht="21">
      <c r="C194" s="58" t="s">
        <v>32</v>
      </c>
      <c r="F194" s="58" t="s">
        <v>33</v>
      </c>
      <c r="H194" s="58" t="s">
        <v>89</v>
      </c>
    </row>
    <row r="195" spans="3:8" ht="21">
      <c r="C195" s="58" t="s">
        <v>51</v>
      </c>
      <c r="F195" s="58" t="s">
        <v>33</v>
      </c>
      <c r="H195" s="58" t="s">
        <v>89</v>
      </c>
    </row>
    <row r="196" spans="3:8" ht="21">
      <c r="C196" s="58" t="s">
        <v>51</v>
      </c>
      <c r="F196" s="58" t="s">
        <v>33</v>
      </c>
      <c r="H196" s="58" t="s">
        <v>89</v>
      </c>
    </row>
    <row r="197" spans="3:8" ht="21">
      <c r="C197" s="58" t="s">
        <v>51</v>
      </c>
      <c r="F197" s="58" t="s">
        <v>33</v>
      </c>
      <c r="H197" s="58" t="s">
        <v>89</v>
      </c>
    </row>
    <row r="198" spans="3:8" ht="21">
      <c r="C198" s="84" t="s">
        <v>29</v>
      </c>
      <c r="F198" s="58" t="s">
        <v>33</v>
      </c>
      <c r="H198" s="58" t="s">
        <v>89</v>
      </c>
    </row>
    <row r="199" spans="3:8" ht="21">
      <c r="C199" s="84" t="s">
        <v>29</v>
      </c>
      <c r="F199" s="58" t="s">
        <v>33</v>
      </c>
      <c r="H199" s="58" t="s">
        <v>89</v>
      </c>
    </row>
    <row r="200" spans="3:8" ht="21">
      <c r="C200" s="58" t="s">
        <v>29</v>
      </c>
      <c r="F200" s="58" t="s">
        <v>33</v>
      </c>
      <c r="H200" s="58" t="s">
        <v>89</v>
      </c>
    </row>
    <row r="201" spans="3:8" ht="21">
      <c r="C201" s="58" t="s">
        <v>29</v>
      </c>
      <c r="F201" s="58" t="s">
        <v>33</v>
      </c>
      <c r="H201" s="58" t="s">
        <v>89</v>
      </c>
    </row>
    <row r="202" spans="3:8" ht="21">
      <c r="C202" s="58" t="s">
        <v>29</v>
      </c>
      <c r="F202" s="58" t="s">
        <v>33</v>
      </c>
      <c r="H202" s="58" t="s">
        <v>89</v>
      </c>
    </row>
    <row r="203" spans="3:8" ht="21">
      <c r="C203" s="58" t="s">
        <v>29</v>
      </c>
      <c r="F203" s="58" t="s">
        <v>33</v>
      </c>
      <c r="H203" s="84" t="s">
        <v>101</v>
      </c>
    </row>
    <row r="204" spans="3:8" ht="21">
      <c r="C204" s="58" t="s">
        <v>29</v>
      </c>
      <c r="F204" s="58" t="s">
        <v>33</v>
      </c>
      <c r="H204" s="84" t="s">
        <v>101</v>
      </c>
    </row>
    <row r="205" spans="3:8" ht="21">
      <c r="C205" s="58" t="s">
        <v>29</v>
      </c>
      <c r="F205" s="58" t="s">
        <v>33</v>
      </c>
      <c r="H205" s="84" t="s">
        <v>101</v>
      </c>
    </row>
    <row r="206" spans="3:8" ht="21">
      <c r="C206" s="58" t="s">
        <v>29</v>
      </c>
      <c r="F206" s="58" t="s">
        <v>33</v>
      </c>
      <c r="H206" s="58" t="s">
        <v>101</v>
      </c>
    </row>
    <row r="207" spans="3:8" ht="21">
      <c r="C207" s="58" t="s">
        <v>28</v>
      </c>
      <c r="F207" s="58" t="s">
        <v>33</v>
      </c>
      <c r="H207" s="58" t="s">
        <v>101</v>
      </c>
    </row>
    <row r="208" spans="3:8" ht="21">
      <c r="C208" s="84" t="s">
        <v>49</v>
      </c>
      <c r="F208" s="58" t="s">
        <v>33</v>
      </c>
      <c r="H208" s="58" t="s">
        <v>101</v>
      </c>
    </row>
    <row r="209" spans="3:8" ht="21">
      <c r="C209" s="84" t="s">
        <v>49</v>
      </c>
      <c r="F209" s="58" t="s">
        <v>33</v>
      </c>
      <c r="H209" s="58" t="s">
        <v>101</v>
      </c>
    </row>
    <row r="210" spans="3:8" ht="21">
      <c r="C210" s="84" t="s">
        <v>49</v>
      </c>
      <c r="F210" s="58" t="s">
        <v>33</v>
      </c>
      <c r="H210" s="58" t="s">
        <v>101</v>
      </c>
    </row>
    <row r="211" spans="3:8" ht="21">
      <c r="C211" s="84" t="s">
        <v>49</v>
      </c>
      <c r="F211" s="58" t="s">
        <v>33</v>
      </c>
      <c r="H211" s="58" t="s">
        <v>101</v>
      </c>
    </row>
    <row r="212" spans="3:8" ht="21">
      <c r="C212" s="84" t="s">
        <v>49</v>
      </c>
      <c r="F212" s="58" t="s">
        <v>33</v>
      </c>
      <c r="H212" s="58" t="s">
        <v>101</v>
      </c>
    </row>
    <row r="213" spans="3:8" ht="21">
      <c r="C213" s="58" t="s">
        <v>49</v>
      </c>
      <c r="F213" s="84" t="s">
        <v>46</v>
      </c>
      <c r="H213" s="58" t="s">
        <v>101</v>
      </c>
    </row>
    <row r="214" spans="3:8" ht="21">
      <c r="C214" s="58" t="s">
        <v>49</v>
      </c>
      <c r="F214" s="58" t="s">
        <v>46</v>
      </c>
      <c r="H214" s="58" t="s">
        <v>101</v>
      </c>
    </row>
    <row r="215" spans="3:8" ht="21">
      <c r="C215" s="58" t="s">
        <v>49</v>
      </c>
      <c r="F215" s="58" t="s">
        <v>46</v>
      </c>
      <c r="H215" s="84" t="s">
        <v>110</v>
      </c>
    </row>
    <row r="216" spans="3:8" ht="21">
      <c r="C216" s="58" t="s">
        <v>49</v>
      </c>
      <c r="F216" s="58" t="s">
        <v>46</v>
      </c>
      <c r="H216" s="84" t="s">
        <v>110</v>
      </c>
    </row>
    <row r="217" spans="3:8" ht="21">
      <c r="C217" s="58" t="s">
        <v>49</v>
      </c>
      <c r="F217" s="58" t="s">
        <v>46</v>
      </c>
      <c r="H217" s="84" t="s">
        <v>110</v>
      </c>
    </row>
    <row r="218" spans="3:8" ht="21">
      <c r="C218" s="58" t="s">
        <v>49</v>
      </c>
      <c r="F218" s="58" t="s">
        <v>46</v>
      </c>
      <c r="H218" s="58" t="s">
        <v>123</v>
      </c>
    </row>
    <row r="219" spans="3:8" ht="21">
      <c r="C219" s="58" t="s">
        <v>49</v>
      </c>
      <c r="F219" s="58" t="s">
        <v>46</v>
      </c>
      <c r="H219" s="58" t="s">
        <v>121</v>
      </c>
    </row>
    <row r="220" spans="3:8" ht="21">
      <c r="C220" s="58" t="s">
        <v>49</v>
      </c>
      <c r="F220" s="58" t="s">
        <v>46</v>
      </c>
      <c r="H220" s="58" t="s">
        <v>87</v>
      </c>
    </row>
    <row r="221" spans="3:8" ht="21">
      <c r="C221" s="58" t="s">
        <v>49</v>
      </c>
      <c r="F221" s="58" t="s">
        <v>46</v>
      </c>
      <c r="H221" s="58" t="s">
        <v>87</v>
      </c>
    </row>
    <row r="222" spans="3:8" ht="21">
      <c r="C222" s="58" t="s">
        <v>49</v>
      </c>
      <c r="F222" s="58" t="s">
        <v>46</v>
      </c>
      <c r="H222" s="84" t="s">
        <v>128</v>
      </c>
    </row>
    <row r="223" spans="3:8" ht="21">
      <c r="C223" s="58" t="s">
        <v>49</v>
      </c>
      <c r="F223" s="58" t="s">
        <v>46</v>
      </c>
      <c r="H223" s="84" t="s">
        <v>128</v>
      </c>
    </row>
    <row r="224" spans="3:8" ht="21">
      <c r="C224" s="58" t="s">
        <v>60</v>
      </c>
      <c r="F224" s="58" t="s">
        <v>46</v>
      </c>
      <c r="H224" s="84" t="s">
        <v>128</v>
      </c>
    </row>
    <row r="225" spans="3:8" ht="21">
      <c r="C225" s="20" t="s">
        <v>52</v>
      </c>
      <c r="F225" s="58" t="s">
        <v>46</v>
      </c>
      <c r="H225" s="84" t="s">
        <v>128</v>
      </c>
    </row>
    <row r="226" spans="3:8" ht="21">
      <c r="C226" s="20" t="s">
        <v>52</v>
      </c>
      <c r="F226" s="58" t="s">
        <v>46</v>
      </c>
      <c r="H226" s="84" t="s">
        <v>128</v>
      </c>
    </row>
    <row r="227" spans="3:8" ht="21">
      <c r="C227" s="20" t="s">
        <v>52</v>
      </c>
      <c r="F227" s="58" t="s">
        <v>46</v>
      </c>
      <c r="H227" s="58" t="s">
        <v>128</v>
      </c>
    </row>
    <row r="228" spans="3:8" ht="21">
      <c r="C228" s="20" t="s">
        <v>52</v>
      </c>
      <c r="F228" s="58" t="s">
        <v>46</v>
      </c>
      <c r="H228" s="58" t="s">
        <v>128</v>
      </c>
    </row>
    <row r="229" spans="3:8" ht="21">
      <c r="C229" s="58" t="s">
        <v>52</v>
      </c>
      <c r="F229" s="58" t="s">
        <v>46</v>
      </c>
      <c r="H229" s="84" t="s">
        <v>93</v>
      </c>
    </row>
    <row r="230" spans="3:8" ht="21">
      <c r="C230" s="58" t="s">
        <v>34</v>
      </c>
      <c r="F230" s="58" t="s">
        <v>55</v>
      </c>
      <c r="H230" s="84" t="s">
        <v>93</v>
      </c>
    </row>
    <row r="231" spans="3:8" ht="21">
      <c r="C231" s="84" t="s">
        <v>65</v>
      </c>
      <c r="F231" s="58" t="s">
        <v>68</v>
      </c>
      <c r="H231" s="84" t="s">
        <v>93</v>
      </c>
    </row>
    <row r="232" spans="3:8" ht="21">
      <c r="C232" s="58" t="s">
        <v>65</v>
      </c>
      <c r="F232" s="84" t="s">
        <v>73</v>
      </c>
      <c r="H232" s="84" t="s">
        <v>93</v>
      </c>
    </row>
    <row r="233" spans="3:8" ht="21">
      <c r="C233" s="58" t="s">
        <v>65</v>
      </c>
      <c r="F233" s="58" t="s">
        <v>73</v>
      </c>
      <c r="H233" s="84" t="s">
        <v>93</v>
      </c>
    </row>
    <row r="234" spans="3:8" ht="21">
      <c r="C234" s="58" t="s">
        <v>65</v>
      </c>
      <c r="F234" s="58" t="s">
        <v>73</v>
      </c>
      <c r="H234" s="58" t="s">
        <v>93</v>
      </c>
    </row>
    <row r="235" spans="3:8" ht="21">
      <c r="C235" s="84" t="s">
        <v>35</v>
      </c>
      <c r="F235" s="84" t="s">
        <v>38</v>
      </c>
      <c r="H235" s="58" t="s">
        <v>93</v>
      </c>
    </row>
    <row r="236" spans="3:8" ht="21">
      <c r="C236" s="84" t="s">
        <v>35</v>
      </c>
      <c r="F236" s="84" t="s">
        <v>38</v>
      </c>
      <c r="H236" s="58" t="s">
        <v>93</v>
      </c>
    </row>
    <row r="237" spans="3:8" ht="21">
      <c r="C237" s="84" t="s">
        <v>35</v>
      </c>
      <c r="F237" s="84" t="s">
        <v>38</v>
      </c>
      <c r="H237" s="58" t="s">
        <v>93</v>
      </c>
    </row>
    <row r="238" spans="3:8" ht="21">
      <c r="C238" s="84" t="s">
        <v>35</v>
      </c>
      <c r="F238" s="84" t="s">
        <v>38</v>
      </c>
      <c r="H238" s="58" t="s">
        <v>93</v>
      </c>
    </row>
    <row r="239" spans="3:8" ht="21">
      <c r="C239" s="84" t="s">
        <v>35</v>
      </c>
      <c r="F239" s="58" t="s">
        <v>38</v>
      </c>
      <c r="H239" s="58" t="s">
        <v>93</v>
      </c>
    </row>
    <row r="240" spans="3:8" ht="21">
      <c r="C240" s="84" t="s">
        <v>35</v>
      </c>
      <c r="F240" s="58" t="s">
        <v>38</v>
      </c>
      <c r="H240" s="58" t="s">
        <v>93</v>
      </c>
    </row>
    <row r="241" spans="3:8" ht="21">
      <c r="C241" s="84" t="s">
        <v>35</v>
      </c>
      <c r="F241" s="58" t="s">
        <v>38</v>
      </c>
      <c r="H241" s="58" t="s">
        <v>93</v>
      </c>
    </row>
    <row r="242" spans="3:8" ht="21">
      <c r="C242" s="84" t="s">
        <v>35</v>
      </c>
      <c r="F242" s="58" t="s">
        <v>38</v>
      </c>
      <c r="H242" s="58" t="s">
        <v>93</v>
      </c>
    </row>
    <row r="243" spans="3:8" ht="21">
      <c r="C243" s="84" t="s">
        <v>35</v>
      </c>
      <c r="F243" s="58" t="s">
        <v>38</v>
      </c>
      <c r="H243" s="58" t="s">
        <v>93</v>
      </c>
    </row>
    <row r="244" spans="3:8" ht="21">
      <c r="C244" s="84" t="s">
        <v>35</v>
      </c>
      <c r="F244" s="58" t="s">
        <v>38</v>
      </c>
      <c r="H244" s="58" t="s">
        <v>93</v>
      </c>
    </row>
    <row r="245" spans="3:8" ht="21">
      <c r="C245" s="84" t="s">
        <v>35</v>
      </c>
      <c r="F245" s="58" t="s">
        <v>38</v>
      </c>
      <c r="H245" s="58" t="s">
        <v>93</v>
      </c>
    </row>
    <row r="246" spans="3:8" ht="21">
      <c r="C246" s="84" t="s">
        <v>35</v>
      </c>
      <c r="F246" s="58" t="s">
        <v>38</v>
      </c>
      <c r="H246" s="58" t="s">
        <v>93</v>
      </c>
    </row>
    <row r="247" spans="3:8" ht="21">
      <c r="C247" s="84" t="s">
        <v>35</v>
      </c>
      <c r="F247" s="58" t="s">
        <v>38</v>
      </c>
      <c r="H247" s="58" t="s">
        <v>93</v>
      </c>
    </row>
    <row r="248" spans="3:8" ht="21">
      <c r="C248" s="84" t="s">
        <v>35</v>
      </c>
      <c r="F248" s="58" t="s">
        <v>38</v>
      </c>
      <c r="H248" s="58" t="s">
        <v>93</v>
      </c>
    </row>
    <row r="249" spans="3:8" ht="21">
      <c r="C249" s="84" t="s">
        <v>35</v>
      </c>
      <c r="F249" s="58" t="s">
        <v>38</v>
      </c>
      <c r="H249" s="58" t="s">
        <v>93</v>
      </c>
    </row>
    <row r="250" spans="3:8" ht="21">
      <c r="C250" s="84" t="s">
        <v>35</v>
      </c>
      <c r="F250" s="58" t="s">
        <v>38</v>
      </c>
      <c r="H250" s="58" t="s">
        <v>93</v>
      </c>
    </row>
    <row r="251" spans="3:8" ht="21">
      <c r="C251" s="84" t="s">
        <v>35</v>
      </c>
      <c r="F251" s="58" t="s">
        <v>38</v>
      </c>
      <c r="H251" s="58" t="s">
        <v>93</v>
      </c>
    </row>
    <row r="252" spans="3:8" ht="21">
      <c r="C252" s="84" t="s">
        <v>35</v>
      </c>
      <c r="F252" s="58" t="s">
        <v>38</v>
      </c>
      <c r="H252" s="58" t="s">
        <v>93</v>
      </c>
    </row>
    <row r="253" spans="3:8" ht="21">
      <c r="C253" s="84" t="s">
        <v>35</v>
      </c>
      <c r="F253" s="58" t="s">
        <v>38</v>
      </c>
      <c r="H253" s="58" t="s">
        <v>93</v>
      </c>
    </row>
    <row r="254" spans="3:8" ht="21">
      <c r="C254" s="84" t="s">
        <v>35</v>
      </c>
      <c r="F254" s="58" t="s">
        <v>38</v>
      </c>
      <c r="H254" s="58" t="s">
        <v>93</v>
      </c>
    </row>
    <row r="255" spans="3:8" ht="21">
      <c r="C255" s="84" t="s">
        <v>35</v>
      </c>
      <c r="F255" s="58" t="s">
        <v>38</v>
      </c>
      <c r="H255" s="58" t="s">
        <v>93</v>
      </c>
    </row>
    <row r="256" spans="3:8" ht="21">
      <c r="C256" s="84" t="s">
        <v>35</v>
      </c>
      <c r="F256" s="58" t="s">
        <v>38</v>
      </c>
      <c r="H256" s="58" t="s">
        <v>103</v>
      </c>
    </row>
    <row r="257" spans="3:8" ht="21">
      <c r="C257" s="84" t="s">
        <v>35</v>
      </c>
      <c r="F257" s="58" t="s">
        <v>38</v>
      </c>
      <c r="H257" s="84" t="s">
        <v>88</v>
      </c>
    </row>
    <row r="258" spans="3:8" ht="21">
      <c r="C258" s="84" t="s">
        <v>35</v>
      </c>
      <c r="F258" s="58" t="s">
        <v>38</v>
      </c>
      <c r="H258" s="84" t="s">
        <v>88</v>
      </c>
    </row>
    <row r="259" spans="3:8" ht="21">
      <c r="C259" s="84" t="s">
        <v>35</v>
      </c>
      <c r="F259" s="58" t="s">
        <v>38</v>
      </c>
      <c r="H259" s="84" t="s">
        <v>88</v>
      </c>
    </row>
    <row r="260" spans="3:8" ht="21">
      <c r="C260" s="84" t="s">
        <v>35</v>
      </c>
      <c r="F260" s="58" t="s">
        <v>38</v>
      </c>
      <c r="H260" s="58" t="s">
        <v>88</v>
      </c>
    </row>
    <row r="261" spans="3:8" ht="21">
      <c r="C261" s="84" t="s">
        <v>35</v>
      </c>
      <c r="F261" s="58" t="s">
        <v>38</v>
      </c>
      <c r="H261" s="84" t="s">
        <v>106</v>
      </c>
    </row>
    <row r="262" spans="3:8" ht="21">
      <c r="C262" s="84" t="s">
        <v>35</v>
      </c>
      <c r="F262" s="58" t="s">
        <v>38</v>
      </c>
      <c r="H262" s="84" t="s">
        <v>106</v>
      </c>
    </row>
    <row r="263" spans="3:8" ht="21">
      <c r="C263" s="58" t="s">
        <v>35</v>
      </c>
      <c r="F263" s="58" t="s">
        <v>38</v>
      </c>
      <c r="H263" s="84" t="s">
        <v>106</v>
      </c>
    </row>
    <row r="264" spans="3:8" ht="21">
      <c r="C264" s="58" t="s">
        <v>35</v>
      </c>
      <c r="F264" s="58" t="s">
        <v>38</v>
      </c>
      <c r="H264" s="84" t="s">
        <v>106</v>
      </c>
    </row>
    <row r="265" spans="3:8" ht="21">
      <c r="C265" s="58" t="s">
        <v>35</v>
      </c>
      <c r="F265" s="58" t="s">
        <v>38</v>
      </c>
      <c r="H265" s="58" t="s">
        <v>106</v>
      </c>
    </row>
    <row r="266" spans="3:8" ht="21">
      <c r="C266" s="58" t="s">
        <v>35</v>
      </c>
      <c r="F266" s="58" t="s">
        <v>38</v>
      </c>
      <c r="H266" s="58" t="s">
        <v>106</v>
      </c>
    </row>
    <row r="267" spans="3:8" ht="21">
      <c r="C267" s="58" t="s">
        <v>35</v>
      </c>
      <c r="F267" s="58" t="s">
        <v>38</v>
      </c>
      <c r="H267" s="58" t="s">
        <v>106</v>
      </c>
    </row>
    <row r="268" spans="3:8" ht="21">
      <c r="C268" s="58" t="s">
        <v>35</v>
      </c>
      <c r="F268" s="58" t="s">
        <v>38</v>
      </c>
      <c r="H268" s="58" t="s">
        <v>106</v>
      </c>
    </row>
    <row r="269" spans="3:8" ht="21">
      <c r="C269" s="58" t="s">
        <v>35</v>
      </c>
      <c r="F269" s="84" t="s">
        <v>36</v>
      </c>
      <c r="H269" s="58" t="s">
        <v>106</v>
      </c>
    </row>
    <row r="270" spans="3:8" ht="21">
      <c r="C270" s="58" t="s">
        <v>35</v>
      </c>
      <c r="F270" s="84" t="s">
        <v>32</v>
      </c>
      <c r="H270" s="58" t="s">
        <v>137</v>
      </c>
    </row>
    <row r="271" spans="3:8" ht="21">
      <c r="C271" s="58" t="s">
        <v>35</v>
      </c>
      <c r="F271" s="58" t="s">
        <v>32</v>
      </c>
      <c r="H271" s="84" t="s">
        <v>85</v>
      </c>
    </row>
    <row r="272" spans="3:8" ht="21">
      <c r="C272" s="58" t="s">
        <v>35</v>
      </c>
      <c r="F272" s="58" t="s">
        <v>32</v>
      </c>
      <c r="H272" s="84" t="s">
        <v>85</v>
      </c>
    </row>
    <row r="273" spans="3:8" ht="21">
      <c r="C273" s="58" t="s">
        <v>35</v>
      </c>
      <c r="F273" s="84" t="s">
        <v>51</v>
      </c>
      <c r="H273" s="84" t="s">
        <v>85</v>
      </c>
    </row>
    <row r="274" spans="3:8" ht="21">
      <c r="C274" s="58" t="s">
        <v>35</v>
      </c>
      <c r="F274" s="58" t="s">
        <v>51</v>
      </c>
      <c r="H274" s="84" t="s">
        <v>85</v>
      </c>
    </row>
    <row r="275" spans="3:8" ht="21">
      <c r="C275" s="58" t="s">
        <v>35</v>
      </c>
      <c r="F275" s="58" t="s">
        <v>51</v>
      </c>
      <c r="H275" s="58" t="s">
        <v>85</v>
      </c>
    </row>
    <row r="276" spans="3:8" ht="21">
      <c r="C276" s="58" t="s">
        <v>35</v>
      </c>
      <c r="F276" s="58" t="s">
        <v>51</v>
      </c>
      <c r="H276" s="58" t="s">
        <v>85</v>
      </c>
    </row>
    <row r="277" spans="3:8" ht="21">
      <c r="C277" s="58" t="s">
        <v>35</v>
      </c>
      <c r="F277" s="58" t="s">
        <v>51</v>
      </c>
      <c r="H277" s="58" t="s">
        <v>85</v>
      </c>
    </row>
    <row r="278" spans="3:8" ht="21">
      <c r="C278" s="58" t="s">
        <v>35</v>
      </c>
      <c r="F278" s="20" t="s">
        <v>51</v>
      </c>
      <c r="H278" s="58" t="s">
        <v>85</v>
      </c>
    </row>
    <row r="279" spans="3:8" ht="21">
      <c r="C279" s="58" t="s">
        <v>35</v>
      </c>
      <c r="F279" s="20" t="s">
        <v>51</v>
      </c>
      <c r="H279" s="20" t="s">
        <v>85</v>
      </c>
    </row>
    <row r="280" spans="3:8" ht="21">
      <c r="C280" s="58" t="s">
        <v>35</v>
      </c>
      <c r="F280" s="58" t="s">
        <v>51</v>
      </c>
      <c r="H280" s="20" t="s">
        <v>85</v>
      </c>
    </row>
    <row r="281" spans="3:8" ht="21">
      <c r="C281" s="58" t="s">
        <v>35</v>
      </c>
      <c r="F281" s="58" t="s">
        <v>140</v>
      </c>
      <c r="H281" s="58" t="s">
        <v>85</v>
      </c>
    </row>
    <row r="282" spans="3:8" ht="21">
      <c r="C282" s="58" t="s">
        <v>35</v>
      </c>
      <c r="F282" s="84" t="s">
        <v>29</v>
      </c>
      <c r="H282" s="58" t="s">
        <v>85</v>
      </c>
    </row>
    <row r="283" spans="3:8" ht="21">
      <c r="C283" s="58" t="s">
        <v>35</v>
      </c>
      <c r="F283" s="58" t="s">
        <v>29</v>
      </c>
      <c r="H283" s="58" t="s">
        <v>84</v>
      </c>
    </row>
    <row r="284" spans="3:8" ht="21">
      <c r="C284" s="58" t="s">
        <v>35</v>
      </c>
      <c r="F284" s="58" t="s">
        <v>29</v>
      </c>
      <c r="H284" s="84" t="s">
        <v>104</v>
      </c>
    </row>
    <row r="285" spans="3:8" ht="21">
      <c r="C285" s="58" t="s">
        <v>35</v>
      </c>
      <c r="F285" s="58" t="s">
        <v>29</v>
      </c>
      <c r="H285" s="84" t="s">
        <v>104</v>
      </c>
    </row>
    <row r="286" spans="3:8" ht="21">
      <c r="C286" s="58" t="s">
        <v>35</v>
      </c>
      <c r="F286" s="58" t="s">
        <v>29</v>
      </c>
      <c r="H286" s="84" t="s">
        <v>104</v>
      </c>
    </row>
    <row r="287" spans="3:8" ht="21">
      <c r="C287" s="58" t="s">
        <v>35</v>
      </c>
      <c r="F287" s="58" t="s">
        <v>28</v>
      </c>
      <c r="H287" s="84" t="s">
        <v>104</v>
      </c>
    </row>
    <row r="288" spans="3:8" ht="21">
      <c r="C288" s="84" t="s">
        <v>43</v>
      </c>
      <c r="F288" s="58" t="s">
        <v>28</v>
      </c>
      <c r="H288" s="84" t="s">
        <v>104</v>
      </c>
    </row>
    <row r="289" spans="3:8" ht="21">
      <c r="C289" s="84" t="s">
        <v>43</v>
      </c>
      <c r="F289" s="84" t="s">
        <v>49</v>
      </c>
      <c r="H289" s="58" t="s">
        <v>104</v>
      </c>
    </row>
    <row r="290" spans="3:8" ht="21">
      <c r="C290" s="84" t="s">
        <v>43</v>
      </c>
      <c r="F290" s="84" t="s">
        <v>49</v>
      </c>
      <c r="H290" s="58" t="s">
        <v>104</v>
      </c>
    </row>
    <row r="291" spans="3:8" ht="21">
      <c r="C291" s="84" t="s">
        <v>43</v>
      </c>
      <c r="F291" s="84" t="s">
        <v>49</v>
      </c>
      <c r="H291" s="58" t="s">
        <v>104</v>
      </c>
    </row>
    <row r="292" spans="3:8" ht="21">
      <c r="C292" s="84" t="s">
        <v>43</v>
      </c>
      <c r="F292" s="84" t="s">
        <v>49</v>
      </c>
      <c r="H292" s="58" t="s">
        <v>104</v>
      </c>
    </row>
    <row r="293" spans="3:8" ht="21">
      <c r="C293" s="84" t="s">
        <v>43</v>
      </c>
      <c r="F293" s="84" t="s">
        <v>49</v>
      </c>
      <c r="H293" s="58" t="s">
        <v>104</v>
      </c>
    </row>
    <row r="294" spans="3:8" ht="21">
      <c r="C294" s="58" t="s">
        <v>43</v>
      </c>
      <c r="F294" s="84" t="s">
        <v>49</v>
      </c>
      <c r="H294" s="58" t="s">
        <v>104</v>
      </c>
    </row>
    <row r="295" spans="3:8" ht="21">
      <c r="C295" s="58" t="s">
        <v>43</v>
      </c>
      <c r="F295" s="84" t="s">
        <v>49</v>
      </c>
      <c r="H295" s="58" t="s">
        <v>104</v>
      </c>
    </row>
    <row r="296" spans="3:8" ht="21">
      <c r="C296" s="58" t="s">
        <v>43</v>
      </c>
      <c r="F296" s="84" t="s">
        <v>49</v>
      </c>
      <c r="H296" s="58" t="s">
        <v>104</v>
      </c>
    </row>
    <row r="297" spans="3:8" ht="21">
      <c r="C297" s="58" t="s">
        <v>43</v>
      </c>
      <c r="F297" s="58" t="s">
        <v>49</v>
      </c>
      <c r="H297" s="58" t="s">
        <v>104</v>
      </c>
    </row>
    <row r="298" spans="3:8" ht="21">
      <c r="C298" s="58" t="s">
        <v>43</v>
      </c>
      <c r="F298" s="58" t="s">
        <v>49</v>
      </c>
      <c r="H298" s="58" t="s">
        <v>104</v>
      </c>
    </row>
    <row r="299" spans="3:8" ht="21">
      <c r="C299" s="58" t="s">
        <v>43</v>
      </c>
      <c r="F299" s="58" t="s">
        <v>49</v>
      </c>
      <c r="H299" s="58" t="s">
        <v>104</v>
      </c>
    </row>
    <row r="300" spans="3:8" ht="21">
      <c r="C300" s="20" t="s">
        <v>43</v>
      </c>
      <c r="F300" s="58" t="s">
        <v>49</v>
      </c>
      <c r="H300" s="58" t="s">
        <v>104</v>
      </c>
    </row>
    <row r="301" spans="3:8" ht="21">
      <c r="C301" s="58" t="s">
        <v>43</v>
      </c>
      <c r="F301" s="41" t="s">
        <v>49</v>
      </c>
      <c r="H301" s="58" t="s">
        <v>104</v>
      </c>
    </row>
    <row r="302" spans="3:8" ht="21">
      <c r="C302" s="58" t="s">
        <v>43</v>
      </c>
      <c r="F302" s="20" t="s">
        <v>49</v>
      </c>
      <c r="H302" s="58" t="s">
        <v>104</v>
      </c>
    </row>
    <row r="303" spans="3:8" ht="21">
      <c r="C303" s="58" t="s">
        <v>43</v>
      </c>
      <c r="F303" s="20" t="s">
        <v>49</v>
      </c>
      <c r="H303" s="41" t="s">
        <v>104</v>
      </c>
    </row>
    <row r="304" spans="3:8" ht="21">
      <c r="C304" s="58" t="s">
        <v>43</v>
      </c>
      <c r="F304" s="20" t="s">
        <v>49</v>
      </c>
      <c r="H304" s="20" t="s">
        <v>104</v>
      </c>
    </row>
    <row r="305" spans="3:8" ht="21">
      <c r="C305" s="58" t="s">
        <v>43</v>
      </c>
      <c r="F305" s="20" t="s">
        <v>49</v>
      </c>
      <c r="H305" s="20" t="s">
        <v>104</v>
      </c>
    </row>
    <row r="306" spans="3:8" ht="21">
      <c r="C306" s="58" t="s">
        <v>43</v>
      </c>
      <c r="F306" s="58" t="s">
        <v>49</v>
      </c>
      <c r="H306" s="20" t="s">
        <v>104</v>
      </c>
    </row>
    <row r="307" spans="3:8" ht="21">
      <c r="C307" s="58" t="s">
        <v>43</v>
      </c>
      <c r="F307" s="58" t="s">
        <v>49</v>
      </c>
      <c r="H307" s="20" t="s">
        <v>104</v>
      </c>
    </row>
    <row r="308" spans="3:8" ht="21">
      <c r="C308" s="58" t="s">
        <v>43</v>
      </c>
      <c r="F308" s="58" t="s">
        <v>49</v>
      </c>
      <c r="H308" s="58" t="s">
        <v>104</v>
      </c>
    </row>
    <row r="309" spans="3:8" ht="21">
      <c r="C309" s="58" t="s">
        <v>43</v>
      </c>
      <c r="F309" s="58" t="s">
        <v>49</v>
      </c>
      <c r="H309" s="58" t="s">
        <v>104</v>
      </c>
    </row>
    <row r="310" spans="3:8" ht="21">
      <c r="C310" s="58" t="s">
        <v>43</v>
      </c>
      <c r="F310" s="58" t="s">
        <v>49</v>
      </c>
      <c r="H310" s="58" t="s">
        <v>104</v>
      </c>
    </row>
    <row r="311" spans="3:8" ht="21">
      <c r="C311" s="58" t="s">
        <v>43</v>
      </c>
      <c r="F311" s="58" t="s">
        <v>49</v>
      </c>
      <c r="H311" s="58" t="s">
        <v>104</v>
      </c>
    </row>
    <row r="312" spans="3:8" ht="21">
      <c r="C312" s="58" t="s">
        <v>43</v>
      </c>
      <c r="F312" s="58" t="s">
        <v>49</v>
      </c>
      <c r="H312" s="58" t="s">
        <v>115</v>
      </c>
    </row>
    <row r="313" spans="3:8" ht="21">
      <c r="C313" s="58" t="s">
        <v>43</v>
      </c>
      <c r="F313" s="58" t="s">
        <v>49</v>
      </c>
      <c r="H313" s="84" t="s">
        <v>107</v>
      </c>
    </row>
    <row r="314" spans="3:8" ht="21">
      <c r="C314" s="58" t="s">
        <v>43</v>
      </c>
      <c r="F314" s="58" t="s">
        <v>49</v>
      </c>
      <c r="H314" s="84" t="s">
        <v>107</v>
      </c>
    </row>
    <row r="315" spans="3:8" ht="21">
      <c r="C315" s="58" t="s">
        <v>43</v>
      </c>
      <c r="F315" s="58" t="s">
        <v>49</v>
      </c>
      <c r="H315" s="84" t="s">
        <v>107</v>
      </c>
    </row>
    <row r="316" spans="3:8" ht="21">
      <c r="C316" s="58" t="s">
        <v>43</v>
      </c>
      <c r="F316" s="58" t="s">
        <v>49</v>
      </c>
      <c r="H316" s="84" t="s">
        <v>107</v>
      </c>
    </row>
    <row r="317" spans="3:8" ht="21">
      <c r="C317" s="58" t="s">
        <v>43</v>
      </c>
      <c r="F317" s="58" t="s">
        <v>49</v>
      </c>
      <c r="H317" s="84" t="s">
        <v>107</v>
      </c>
    </row>
    <row r="318" spans="3:8" ht="21">
      <c r="C318" s="84" t="s">
        <v>30</v>
      </c>
      <c r="F318" s="84" t="s">
        <v>52</v>
      </c>
      <c r="H318" s="58" t="s">
        <v>107</v>
      </c>
    </row>
    <row r="319" spans="3:8" ht="21">
      <c r="C319" s="58" t="s">
        <v>143</v>
      </c>
      <c r="F319" s="84" t="s">
        <v>52</v>
      </c>
      <c r="H319" s="58" t="s">
        <v>107</v>
      </c>
    </row>
    <row r="320" spans="3:8" ht="21">
      <c r="C320" s="84"/>
      <c r="F320" s="84" t="s">
        <v>52</v>
      </c>
      <c r="H320" s="58" t="s">
        <v>107</v>
      </c>
    </row>
    <row r="321" spans="3:8" ht="21">
      <c r="C321" s="84"/>
      <c r="F321" s="58" t="s">
        <v>52</v>
      </c>
      <c r="H321" s="58" t="s">
        <v>107</v>
      </c>
    </row>
    <row r="322" spans="3:8" ht="21">
      <c r="C322" s="58"/>
      <c r="F322" s="58" t="s">
        <v>52</v>
      </c>
      <c r="H322" s="58" t="s">
        <v>107</v>
      </c>
    </row>
    <row r="323" spans="3:8" ht="21">
      <c r="C323" s="20"/>
      <c r="F323" s="58" t="s">
        <v>52</v>
      </c>
      <c r="H323" s="58" t="s">
        <v>107</v>
      </c>
    </row>
    <row r="324" spans="3:8" ht="21">
      <c r="C324" s="20"/>
      <c r="F324" s="58" t="s">
        <v>52</v>
      </c>
      <c r="H324" s="58" t="s">
        <v>107</v>
      </c>
    </row>
    <row r="325" spans="3:8" ht="21">
      <c r="C325" s="58"/>
      <c r="F325" s="58" t="s">
        <v>52</v>
      </c>
      <c r="H325" s="58" t="s">
        <v>107</v>
      </c>
    </row>
    <row r="326" spans="3:8" ht="21">
      <c r="C326" s="58"/>
      <c r="F326" s="58" t="s">
        <v>52</v>
      </c>
      <c r="H326" s="58" t="s">
        <v>107</v>
      </c>
    </row>
    <row r="327" spans="3:8" ht="21">
      <c r="C327" s="58"/>
      <c r="F327" s="58" t="s">
        <v>52</v>
      </c>
      <c r="H327" s="58" t="s">
        <v>107</v>
      </c>
    </row>
    <row r="328" spans="3:8" ht="21">
      <c r="C328" s="58"/>
      <c r="F328" s="58" t="s">
        <v>52</v>
      </c>
      <c r="H328" s="58" t="s">
        <v>107</v>
      </c>
    </row>
    <row r="329" spans="3:8" ht="21">
      <c r="C329" s="58"/>
      <c r="F329" s="58" t="s">
        <v>52</v>
      </c>
      <c r="H329" s="58" t="s">
        <v>107</v>
      </c>
    </row>
    <row r="330" spans="3:8" ht="21">
      <c r="C330" s="58"/>
      <c r="F330" s="58" t="s">
        <v>52</v>
      </c>
      <c r="H330" s="58" t="s">
        <v>107</v>
      </c>
    </row>
    <row r="331" spans="3:8" ht="21">
      <c r="C331" s="58"/>
      <c r="F331" s="58" t="s">
        <v>52</v>
      </c>
      <c r="H331" s="58" t="s">
        <v>141</v>
      </c>
    </row>
    <row r="332" spans="3:8" ht="21">
      <c r="F332" s="58" t="s">
        <v>52</v>
      </c>
      <c r="H332" s="58" t="s">
        <v>90</v>
      </c>
    </row>
    <row r="333" spans="3:8" ht="21">
      <c r="F333" s="84" t="s">
        <v>65</v>
      </c>
      <c r="H333" s="58" t="s">
        <v>90</v>
      </c>
    </row>
    <row r="334" spans="3:8" ht="21">
      <c r="F334" s="58" t="s">
        <v>65</v>
      </c>
      <c r="H334" s="58" t="s">
        <v>90</v>
      </c>
    </row>
    <row r="335" spans="3:8" ht="21">
      <c r="F335" s="58" t="s">
        <v>65</v>
      </c>
      <c r="H335" s="84" t="s">
        <v>120</v>
      </c>
    </row>
    <row r="336" spans="3:8" ht="21">
      <c r="F336" s="58" t="s">
        <v>65</v>
      </c>
      <c r="H336" s="58" t="s">
        <v>120</v>
      </c>
    </row>
    <row r="337" spans="6:8" ht="20">
      <c r="F337" s="84" t="s">
        <v>136</v>
      </c>
      <c r="H337" s="84" t="s">
        <v>91</v>
      </c>
    </row>
    <row r="338" spans="6:8" ht="21">
      <c r="F338" s="58" t="s">
        <v>136</v>
      </c>
      <c r="H338" s="84" t="s">
        <v>91</v>
      </c>
    </row>
    <row r="339" spans="6:8" ht="20">
      <c r="F339" s="84" t="s">
        <v>35</v>
      </c>
      <c r="H339" s="84" t="s">
        <v>91</v>
      </c>
    </row>
    <row r="340" spans="6:8" ht="20">
      <c r="F340" s="84" t="s">
        <v>35</v>
      </c>
      <c r="H340" s="84" t="s">
        <v>91</v>
      </c>
    </row>
    <row r="341" spans="6:8" ht="20">
      <c r="F341" s="84" t="s">
        <v>35</v>
      </c>
      <c r="H341" s="84" t="s">
        <v>91</v>
      </c>
    </row>
    <row r="342" spans="6:8" ht="20">
      <c r="F342" s="84" t="s">
        <v>35</v>
      </c>
      <c r="H342" s="84" t="s">
        <v>91</v>
      </c>
    </row>
    <row r="343" spans="6:8" ht="20">
      <c r="F343" s="84" t="s">
        <v>35</v>
      </c>
      <c r="H343" s="84" t="s">
        <v>91</v>
      </c>
    </row>
    <row r="344" spans="6:8" ht="20">
      <c r="F344" s="84" t="s">
        <v>35</v>
      </c>
      <c r="H344" s="84" t="s">
        <v>91</v>
      </c>
    </row>
    <row r="345" spans="6:8" ht="20">
      <c r="F345" s="84" t="s">
        <v>91</v>
      </c>
      <c r="H345" s="84" t="s">
        <v>91</v>
      </c>
    </row>
    <row r="346" spans="6:8" ht="20">
      <c r="F346" s="84" t="s">
        <v>35</v>
      </c>
      <c r="H346" s="84" t="s">
        <v>91</v>
      </c>
    </row>
    <row r="347" spans="6:8" ht="20">
      <c r="F347" s="84" t="s">
        <v>35</v>
      </c>
      <c r="H347" s="84" t="s">
        <v>91</v>
      </c>
    </row>
    <row r="348" spans="6:8" ht="20">
      <c r="F348" s="84" t="s">
        <v>35</v>
      </c>
      <c r="H348" s="84" t="s">
        <v>91</v>
      </c>
    </row>
    <row r="349" spans="6:8" ht="20">
      <c r="F349" s="84" t="s">
        <v>35</v>
      </c>
      <c r="H349" s="84" t="s">
        <v>91</v>
      </c>
    </row>
    <row r="350" spans="6:8" ht="20">
      <c r="F350" s="84" t="s">
        <v>35</v>
      </c>
      <c r="H350" s="84" t="s">
        <v>91</v>
      </c>
    </row>
    <row r="351" spans="6:8" ht="20">
      <c r="F351" s="84" t="s">
        <v>35</v>
      </c>
      <c r="H351" s="84" t="s">
        <v>91</v>
      </c>
    </row>
    <row r="352" spans="6:8" ht="20">
      <c r="F352" s="84" t="s">
        <v>35</v>
      </c>
      <c r="H352" s="84" t="s">
        <v>91</v>
      </c>
    </row>
    <row r="353" spans="6:8" ht="20">
      <c r="F353" s="84" t="s">
        <v>35</v>
      </c>
      <c r="H353" s="84" t="s">
        <v>91</v>
      </c>
    </row>
    <row r="354" spans="6:8" ht="20">
      <c r="F354" s="84" t="s">
        <v>35</v>
      </c>
      <c r="H354" s="84" t="s">
        <v>91</v>
      </c>
    </row>
    <row r="355" spans="6:8" ht="20">
      <c r="F355" s="84" t="s">
        <v>35</v>
      </c>
      <c r="H355" s="84" t="s">
        <v>91</v>
      </c>
    </row>
    <row r="356" spans="6:8" ht="20">
      <c r="F356" s="84" t="s">
        <v>35</v>
      </c>
      <c r="H356" s="84" t="s">
        <v>91</v>
      </c>
    </row>
    <row r="357" spans="6:8" ht="20">
      <c r="F357" s="84" t="s">
        <v>35</v>
      </c>
      <c r="H357" s="84" t="s">
        <v>91</v>
      </c>
    </row>
    <row r="358" spans="6:8" ht="20">
      <c r="F358" s="84" t="s">
        <v>35</v>
      </c>
      <c r="H358" s="84" t="s">
        <v>91</v>
      </c>
    </row>
    <row r="359" spans="6:8" ht="20">
      <c r="F359" s="84" t="s">
        <v>35</v>
      </c>
      <c r="H359" s="84" t="s">
        <v>91</v>
      </c>
    </row>
    <row r="360" spans="6:8" ht="20">
      <c r="F360" s="84" t="s">
        <v>35</v>
      </c>
      <c r="H360" s="84" t="s">
        <v>91</v>
      </c>
    </row>
    <row r="361" spans="6:8" ht="20">
      <c r="F361" s="84" t="s">
        <v>35</v>
      </c>
      <c r="H361" s="84" t="s">
        <v>91</v>
      </c>
    </row>
    <row r="362" spans="6:8" ht="20">
      <c r="F362" s="84" t="s">
        <v>35</v>
      </c>
      <c r="H362" s="84" t="s">
        <v>91</v>
      </c>
    </row>
    <row r="363" spans="6:8" ht="20">
      <c r="F363" s="84" t="s">
        <v>35</v>
      </c>
      <c r="H363" s="84" t="s">
        <v>91</v>
      </c>
    </row>
    <row r="364" spans="6:8" ht="20">
      <c r="F364" s="84" t="s">
        <v>35</v>
      </c>
      <c r="H364" s="84" t="s">
        <v>91</v>
      </c>
    </row>
    <row r="365" spans="6:8" ht="20">
      <c r="F365" s="84" t="s">
        <v>35</v>
      </c>
      <c r="H365" s="84" t="s">
        <v>91</v>
      </c>
    </row>
    <row r="366" spans="6:8" ht="20">
      <c r="F366" s="84" t="s">
        <v>35</v>
      </c>
      <c r="H366" s="84" t="s">
        <v>91</v>
      </c>
    </row>
    <row r="367" spans="6:8" ht="20">
      <c r="F367" s="84" t="s">
        <v>35</v>
      </c>
      <c r="H367" s="84" t="s">
        <v>91</v>
      </c>
    </row>
    <row r="368" spans="6:8" ht="20">
      <c r="F368" s="84" t="s">
        <v>35</v>
      </c>
      <c r="H368" s="84" t="s">
        <v>91</v>
      </c>
    </row>
    <row r="369" spans="6:8" ht="20">
      <c r="F369" s="84" t="s">
        <v>35</v>
      </c>
      <c r="H369" s="84" t="s">
        <v>91</v>
      </c>
    </row>
    <row r="370" spans="6:8" ht="20">
      <c r="F370" s="84" t="s">
        <v>35</v>
      </c>
      <c r="H370" s="84" t="s">
        <v>91</v>
      </c>
    </row>
    <row r="371" spans="6:8" ht="21">
      <c r="F371" s="58" t="s">
        <v>35</v>
      </c>
      <c r="H371" s="84" t="s">
        <v>91</v>
      </c>
    </row>
    <row r="372" spans="6:8" ht="21">
      <c r="F372" s="58" t="s">
        <v>35</v>
      </c>
      <c r="H372" s="84" t="s">
        <v>91</v>
      </c>
    </row>
    <row r="373" spans="6:8" ht="21">
      <c r="F373" s="58" t="s">
        <v>35</v>
      </c>
      <c r="H373" s="58" t="s">
        <v>91</v>
      </c>
    </row>
    <row r="374" spans="6:8" ht="21">
      <c r="F374" s="58" t="s">
        <v>35</v>
      </c>
      <c r="H374" s="58" t="s">
        <v>91</v>
      </c>
    </row>
    <row r="375" spans="6:8" ht="21">
      <c r="F375" s="58" t="s">
        <v>35</v>
      </c>
      <c r="H375" s="58" t="s">
        <v>91</v>
      </c>
    </row>
    <row r="376" spans="6:8" ht="21">
      <c r="F376" s="58" t="s">
        <v>35</v>
      </c>
      <c r="H376" s="58" t="s">
        <v>91</v>
      </c>
    </row>
    <row r="377" spans="6:8" ht="21">
      <c r="F377" s="20" t="s">
        <v>35</v>
      </c>
      <c r="H377" s="58" t="s">
        <v>91</v>
      </c>
    </row>
    <row r="378" spans="6:8" ht="21">
      <c r="F378" s="58" t="s">
        <v>35</v>
      </c>
      <c r="H378" s="58" t="s">
        <v>91</v>
      </c>
    </row>
    <row r="379" spans="6:8" ht="21">
      <c r="F379" s="58" t="s">
        <v>35</v>
      </c>
      <c r="H379" s="20" t="s">
        <v>91</v>
      </c>
    </row>
    <row r="380" spans="6:8" ht="21">
      <c r="F380" s="58" t="s">
        <v>35</v>
      </c>
      <c r="H380" s="58" t="s">
        <v>91</v>
      </c>
    </row>
    <row r="381" spans="6:8" ht="21">
      <c r="F381" s="58" t="s">
        <v>35</v>
      </c>
      <c r="H381" s="58" t="s">
        <v>91</v>
      </c>
    </row>
    <row r="382" spans="6:8" ht="21">
      <c r="F382" s="58" t="s">
        <v>35</v>
      </c>
      <c r="H382" s="58" t="s">
        <v>91</v>
      </c>
    </row>
    <row r="383" spans="6:8" ht="21">
      <c r="F383" s="58" t="s">
        <v>35</v>
      </c>
      <c r="H383" s="58" t="s">
        <v>91</v>
      </c>
    </row>
    <row r="384" spans="6:8" ht="21">
      <c r="F384" s="58" t="s">
        <v>35</v>
      </c>
      <c r="H384" s="58" t="s">
        <v>91</v>
      </c>
    </row>
    <row r="385" spans="6:8" ht="21">
      <c r="F385" s="58" t="s">
        <v>35</v>
      </c>
      <c r="H385" s="58" t="s">
        <v>91</v>
      </c>
    </row>
    <row r="386" spans="6:8" ht="21">
      <c r="F386" s="58" t="s">
        <v>35</v>
      </c>
      <c r="H386" s="58" t="s">
        <v>91</v>
      </c>
    </row>
    <row r="387" spans="6:8" ht="21">
      <c r="F387" s="58" t="s">
        <v>35</v>
      </c>
      <c r="H387" s="58" t="s">
        <v>91</v>
      </c>
    </row>
    <row r="388" spans="6:8" ht="21">
      <c r="F388" s="58" t="s">
        <v>35</v>
      </c>
      <c r="H388" s="58" t="s">
        <v>91</v>
      </c>
    </row>
    <row r="389" spans="6:8" ht="21">
      <c r="F389" s="58" t="s">
        <v>35</v>
      </c>
      <c r="H389" s="58" t="s">
        <v>91</v>
      </c>
    </row>
    <row r="390" spans="6:8" ht="21">
      <c r="F390" s="58" t="s">
        <v>35</v>
      </c>
      <c r="H390" s="58" t="s">
        <v>91</v>
      </c>
    </row>
    <row r="391" spans="6:8" ht="21">
      <c r="F391" s="58" t="s">
        <v>35</v>
      </c>
      <c r="H391" s="58" t="s">
        <v>91</v>
      </c>
    </row>
    <row r="392" spans="6:8" ht="21">
      <c r="F392" s="58" t="s">
        <v>35</v>
      </c>
      <c r="H392" s="58" t="s">
        <v>91</v>
      </c>
    </row>
    <row r="393" spans="6:8" ht="21">
      <c r="F393" s="58" t="s">
        <v>35</v>
      </c>
      <c r="H393" s="58" t="s">
        <v>91</v>
      </c>
    </row>
    <row r="394" spans="6:8" ht="21">
      <c r="F394" s="58" t="s">
        <v>35</v>
      </c>
      <c r="H394" s="58" t="s">
        <v>91</v>
      </c>
    </row>
    <row r="395" spans="6:8" ht="21">
      <c r="F395" s="58" t="s">
        <v>35</v>
      </c>
      <c r="H395" s="58" t="s">
        <v>91</v>
      </c>
    </row>
    <row r="396" spans="6:8" ht="21">
      <c r="F396" s="58" t="s">
        <v>35</v>
      </c>
      <c r="H396" s="58" t="s">
        <v>91</v>
      </c>
    </row>
    <row r="397" spans="6:8" ht="21">
      <c r="F397" s="58" t="s">
        <v>35</v>
      </c>
      <c r="H397" s="58" t="s">
        <v>91</v>
      </c>
    </row>
    <row r="398" spans="6:8" ht="21">
      <c r="F398" s="58" t="s">
        <v>35</v>
      </c>
      <c r="H398" s="58" t="s">
        <v>91</v>
      </c>
    </row>
    <row r="399" spans="6:8" ht="21">
      <c r="F399" s="58" t="s">
        <v>35</v>
      </c>
      <c r="H399" s="58" t="s">
        <v>91</v>
      </c>
    </row>
    <row r="400" spans="6:8" ht="21">
      <c r="F400" s="20" t="s">
        <v>35</v>
      </c>
      <c r="H400" s="58" t="s">
        <v>91</v>
      </c>
    </row>
    <row r="401" spans="6:8" ht="21">
      <c r="F401" s="20" t="s">
        <v>35</v>
      </c>
      <c r="H401" s="58" t="s">
        <v>91</v>
      </c>
    </row>
    <row r="402" spans="6:8" ht="21">
      <c r="F402" s="58" t="s">
        <v>35</v>
      </c>
      <c r="H402" s="20" t="s">
        <v>91</v>
      </c>
    </row>
    <row r="403" spans="6:8" ht="21">
      <c r="F403" s="58" t="s">
        <v>35</v>
      </c>
      <c r="H403" s="20" t="s">
        <v>91</v>
      </c>
    </row>
    <row r="404" spans="6:8" ht="21">
      <c r="F404" s="58" t="s">
        <v>35</v>
      </c>
      <c r="H404" s="58" t="s">
        <v>91</v>
      </c>
    </row>
    <row r="405" spans="6:8" ht="21">
      <c r="F405" s="58" t="s">
        <v>35</v>
      </c>
      <c r="H405" s="58" t="s">
        <v>91</v>
      </c>
    </row>
    <row r="406" spans="6:8" ht="21">
      <c r="F406" s="58" t="s">
        <v>35</v>
      </c>
      <c r="H406" s="58" t="s">
        <v>91</v>
      </c>
    </row>
    <row r="407" spans="6:8" ht="21">
      <c r="F407" s="58" t="s">
        <v>35</v>
      </c>
      <c r="H407" s="58" t="s">
        <v>91</v>
      </c>
    </row>
    <row r="408" spans="6:8" ht="21">
      <c r="F408" s="58" t="s">
        <v>35</v>
      </c>
      <c r="H408" s="58" t="s">
        <v>91</v>
      </c>
    </row>
    <row r="409" spans="6:8" ht="21">
      <c r="F409" s="84" t="s">
        <v>43</v>
      </c>
      <c r="H409" s="58" t="s">
        <v>91</v>
      </c>
    </row>
    <row r="410" spans="6:8" ht="21">
      <c r="F410" s="84" t="s">
        <v>43</v>
      </c>
      <c r="H410" s="58" t="s">
        <v>91</v>
      </c>
    </row>
    <row r="411" spans="6:8" ht="21">
      <c r="F411" s="84" t="s">
        <v>43</v>
      </c>
      <c r="H411" s="58" t="s">
        <v>98</v>
      </c>
    </row>
    <row r="412" spans="6:8" ht="20">
      <c r="F412" s="84" t="s">
        <v>43</v>
      </c>
      <c r="H412" s="84" t="s">
        <v>98</v>
      </c>
    </row>
    <row r="413" spans="6:8" ht="20">
      <c r="F413" s="84" t="s">
        <v>43</v>
      </c>
      <c r="H413" s="84" t="s">
        <v>98</v>
      </c>
    </row>
    <row r="414" spans="6:8" ht="20">
      <c r="F414" s="84" t="s">
        <v>43</v>
      </c>
      <c r="H414" s="84" t="s">
        <v>98</v>
      </c>
    </row>
    <row r="415" spans="6:8" ht="20">
      <c r="F415" s="84" t="s">
        <v>43</v>
      </c>
      <c r="H415" s="84" t="s">
        <v>98</v>
      </c>
    </row>
    <row r="416" spans="6:8" ht="21">
      <c r="F416" s="84" t="s">
        <v>43</v>
      </c>
      <c r="H416" s="58" t="s">
        <v>98</v>
      </c>
    </row>
    <row r="417" spans="6:8" ht="21">
      <c r="F417" s="84" t="s">
        <v>43</v>
      </c>
      <c r="H417" s="58" t="s">
        <v>98</v>
      </c>
    </row>
    <row r="418" spans="6:8" ht="21">
      <c r="F418" s="84" t="s">
        <v>43</v>
      </c>
      <c r="H418" s="58" t="s">
        <v>98</v>
      </c>
    </row>
    <row r="419" spans="6:8" ht="21">
      <c r="F419" s="84" t="s">
        <v>43</v>
      </c>
      <c r="H419" s="58" t="s">
        <v>98</v>
      </c>
    </row>
    <row r="420" spans="6:8" ht="21">
      <c r="F420" s="84" t="s">
        <v>43</v>
      </c>
      <c r="H420" s="58" t="s">
        <v>98</v>
      </c>
    </row>
    <row r="421" spans="6:8" ht="21">
      <c r="F421" s="58" t="s">
        <v>43</v>
      </c>
      <c r="H421" s="58" t="s">
        <v>98</v>
      </c>
    </row>
    <row r="422" spans="6:8" ht="21">
      <c r="F422" s="58" t="s">
        <v>43</v>
      </c>
      <c r="H422" s="58" t="s">
        <v>98</v>
      </c>
    </row>
    <row r="423" spans="6:8" ht="21">
      <c r="F423" s="58" t="s">
        <v>43</v>
      </c>
      <c r="H423" s="58" t="s">
        <v>98</v>
      </c>
    </row>
    <row r="424" spans="6:8" ht="21">
      <c r="F424" s="58" t="s">
        <v>43</v>
      </c>
      <c r="H424" s="58" t="s">
        <v>98</v>
      </c>
    </row>
    <row r="425" spans="6:8" ht="21">
      <c r="F425" s="58" t="s">
        <v>43</v>
      </c>
      <c r="H425" s="58" t="s">
        <v>98</v>
      </c>
    </row>
    <row r="426" spans="6:8" ht="21">
      <c r="F426" s="58" t="s">
        <v>43</v>
      </c>
      <c r="H426" s="58" t="s">
        <v>98</v>
      </c>
    </row>
    <row r="427" spans="6:8" ht="21">
      <c r="F427" s="58" t="s">
        <v>43</v>
      </c>
      <c r="H427" s="58" t="s">
        <v>98</v>
      </c>
    </row>
    <row r="428" spans="6:8" ht="21">
      <c r="F428" s="20" t="s">
        <v>43</v>
      </c>
      <c r="H428" s="58" t="s">
        <v>98</v>
      </c>
    </row>
    <row r="429" spans="6:8" ht="21">
      <c r="F429" s="20" t="s">
        <v>43</v>
      </c>
      <c r="H429" s="58" t="s">
        <v>98</v>
      </c>
    </row>
    <row r="430" spans="6:8" ht="21">
      <c r="F430" s="58" t="s">
        <v>43</v>
      </c>
      <c r="H430" s="20" t="s">
        <v>98</v>
      </c>
    </row>
    <row r="431" spans="6:8" ht="21">
      <c r="F431" s="58" t="s">
        <v>43</v>
      </c>
      <c r="H431" s="20" t="s">
        <v>98</v>
      </c>
    </row>
    <row r="432" spans="6:8" ht="21">
      <c r="F432" s="58" t="s">
        <v>43</v>
      </c>
      <c r="H432" s="58" t="s">
        <v>98</v>
      </c>
    </row>
    <row r="433" spans="6:8" ht="21">
      <c r="F433" s="58" t="s">
        <v>43</v>
      </c>
      <c r="H433" s="58" t="s">
        <v>98</v>
      </c>
    </row>
    <row r="434" spans="6:8" ht="21">
      <c r="F434" s="58" t="s">
        <v>43</v>
      </c>
      <c r="H434" s="58" t="s">
        <v>98</v>
      </c>
    </row>
    <row r="435" spans="6:8" ht="21">
      <c r="F435" s="58" t="s">
        <v>43</v>
      </c>
      <c r="H435" s="58" t="s">
        <v>98</v>
      </c>
    </row>
    <row r="436" spans="6:8" ht="21">
      <c r="F436" s="58" t="s">
        <v>43</v>
      </c>
      <c r="H436" s="58" t="s">
        <v>98</v>
      </c>
    </row>
    <row r="437" spans="6:8" ht="21">
      <c r="F437" s="58" t="s">
        <v>43</v>
      </c>
      <c r="H437" s="58" t="s">
        <v>98</v>
      </c>
    </row>
    <row r="438" spans="6:8" ht="21">
      <c r="F438" s="58" t="s">
        <v>43</v>
      </c>
      <c r="H438" s="58" t="s">
        <v>98</v>
      </c>
    </row>
    <row r="439" spans="6:8" ht="21">
      <c r="F439" s="58" t="s">
        <v>43</v>
      </c>
      <c r="H439" s="58" t="s">
        <v>98</v>
      </c>
    </row>
    <row r="440" spans="6:8" ht="21">
      <c r="F440" s="58" t="s">
        <v>43</v>
      </c>
      <c r="H440" s="58" t="s">
        <v>98</v>
      </c>
    </row>
    <row r="441" spans="6:8" ht="21">
      <c r="F441" s="58" t="s">
        <v>43</v>
      </c>
      <c r="H441" s="58" t="s">
        <v>98</v>
      </c>
    </row>
    <row r="442" spans="6:8" ht="21">
      <c r="F442" s="58" t="s">
        <v>30</v>
      </c>
      <c r="H442" s="58" t="s">
        <v>98</v>
      </c>
    </row>
    <row r="443" spans="6:8" ht="21">
      <c r="F443" s="58" t="s">
        <v>39</v>
      </c>
      <c r="H443" s="84" t="s">
        <v>86</v>
      </c>
    </row>
    <row r="444" spans="6:8" ht="21">
      <c r="F444" s="58" t="s">
        <v>39</v>
      </c>
      <c r="H444" s="58" t="s">
        <v>86</v>
      </c>
    </row>
    <row r="445" spans="6:8" ht="21">
      <c r="F445" s="58" t="s">
        <v>44</v>
      </c>
      <c r="H445" s="58" t="s">
        <v>139</v>
      </c>
    </row>
    <row r="446" spans="6:8" ht="21">
      <c r="F446" s="58"/>
      <c r="H446" s="58" t="s">
        <v>94</v>
      </c>
    </row>
    <row r="447" spans="6:8" ht="20">
      <c r="F447" s="58"/>
      <c r="H447" s="84" t="s">
        <v>99</v>
      </c>
    </row>
    <row r="448" spans="6:8" ht="21">
      <c r="F448" s="58"/>
      <c r="H448" s="58" t="s">
        <v>144</v>
      </c>
    </row>
    <row r="449" spans="6:8" ht="21">
      <c r="F449" s="58"/>
      <c r="H449" s="58" t="s">
        <v>142</v>
      </c>
    </row>
    <row r="450" spans="6:8" ht="20">
      <c r="F450" s="58"/>
      <c r="H450" s="84"/>
    </row>
    <row r="451" spans="6:8" ht="20">
      <c r="H451" s="58"/>
    </row>
    <row r="452" spans="6:8" ht="20">
      <c r="H452" s="58"/>
    </row>
    <row r="453" spans="6:8" ht="20">
      <c r="H453" s="58"/>
    </row>
  </sheetData>
  <sortState xmlns:xlrd2="http://schemas.microsoft.com/office/spreadsheetml/2017/richdata2" ref="H2:H453">
    <sortCondition ref="H1:H453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1D6C-13DA-734A-ACDC-C2B6DD060D02}">
  <sheetPr codeName="Sheet4"/>
  <dimension ref="A1:J1048576"/>
  <sheetViews>
    <sheetView zoomScale="85" zoomScaleNormal="85" workbookViewId="0">
      <selection activeCell="I16" sqref="I16"/>
    </sheetView>
  </sheetViews>
  <sheetFormatPr baseColWidth="10" defaultColWidth="8.83203125" defaultRowHeight="14"/>
  <cols>
    <col min="2" max="2" width="13.6640625" customWidth="1"/>
    <col min="3" max="5" width="16.5" customWidth="1"/>
    <col min="6" max="6" width="17.5" customWidth="1"/>
    <col min="9" max="9" width="26.33203125" customWidth="1"/>
    <col min="10" max="10" width="14.6640625" customWidth="1"/>
  </cols>
  <sheetData>
    <row r="1" spans="1:10" ht="38.25" customHeight="1">
      <c r="A1" s="91" t="s">
        <v>132</v>
      </c>
      <c r="B1" s="91"/>
      <c r="C1" s="91"/>
      <c r="D1" s="91"/>
      <c r="E1" s="91"/>
      <c r="F1" s="91"/>
      <c r="G1" s="60"/>
      <c r="H1" s="60"/>
      <c r="I1" s="60"/>
      <c r="J1" s="60"/>
    </row>
    <row r="2" spans="1:10" ht="42.75" customHeight="1" thickBot="1">
      <c r="A2" s="60"/>
      <c r="B2" s="60"/>
      <c r="C2" s="60"/>
      <c r="D2" s="60"/>
      <c r="E2" s="92" t="s">
        <v>133</v>
      </c>
      <c r="F2" s="92"/>
      <c r="G2" s="60"/>
      <c r="H2" s="60"/>
      <c r="I2" s="60"/>
      <c r="J2" s="60"/>
    </row>
    <row r="3" spans="1:10" ht="34.5" customHeight="1" thickBot="1">
      <c r="A3" s="33" t="s">
        <v>14</v>
      </c>
      <c r="B3" s="38" t="s">
        <v>79</v>
      </c>
      <c r="C3" s="36">
        <v>1</v>
      </c>
      <c r="D3" s="34">
        <v>2</v>
      </c>
      <c r="E3" s="34">
        <v>3</v>
      </c>
      <c r="F3" s="35" t="s">
        <v>80</v>
      </c>
      <c r="H3" s="93" t="s">
        <v>81</v>
      </c>
      <c r="I3" s="93"/>
      <c r="J3" s="93"/>
    </row>
    <row r="4" spans="1:10" ht="33.75" customHeight="1">
      <c r="A4" s="40">
        <v>1</v>
      </c>
      <c r="B4" s="44">
        <v>55</v>
      </c>
      <c r="C4" s="42" t="s">
        <v>57</v>
      </c>
      <c r="D4" s="41" t="s">
        <v>35</v>
      </c>
      <c r="E4" s="41" t="s">
        <v>43</v>
      </c>
      <c r="F4" s="32"/>
      <c r="H4" s="59" t="s">
        <v>14</v>
      </c>
      <c r="I4" s="59" t="s">
        <v>82</v>
      </c>
      <c r="J4" s="59" t="s">
        <v>26</v>
      </c>
    </row>
    <row r="5" spans="1:10" ht="33.75" customHeight="1">
      <c r="A5" s="40">
        <v>2</v>
      </c>
      <c r="B5" s="45">
        <v>135</v>
      </c>
      <c r="C5" s="43" t="s">
        <v>43</v>
      </c>
      <c r="D5" s="20" t="s">
        <v>35</v>
      </c>
      <c r="E5" s="20" t="s">
        <v>33</v>
      </c>
      <c r="F5" s="21"/>
      <c r="H5" s="59">
        <v>1</v>
      </c>
      <c r="I5" s="59" t="s">
        <v>83</v>
      </c>
      <c r="J5" s="59">
        <f>COUNTIF(($C$4:$E$207),I5)</f>
        <v>2</v>
      </c>
    </row>
    <row r="6" spans="1:10" ht="33.75" customHeight="1">
      <c r="A6" s="40">
        <v>3</v>
      </c>
      <c r="B6" s="45">
        <v>58</v>
      </c>
      <c r="C6" s="23" t="s">
        <v>33</v>
      </c>
      <c r="D6" s="20" t="s">
        <v>46</v>
      </c>
      <c r="E6" s="20" t="s">
        <v>41</v>
      </c>
      <c r="F6" s="21"/>
      <c r="H6" s="59">
        <v>2</v>
      </c>
      <c r="I6" s="59" t="s">
        <v>84</v>
      </c>
      <c r="J6" s="59">
        <f t="shared" ref="J6:J55" si="0">COUNTIF(($C$4:$E$207),I6)</f>
        <v>2</v>
      </c>
    </row>
    <row r="7" spans="1:10" ht="33.75" customHeight="1">
      <c r="A7" s="40">
        <v>4</v>
      </c>
      <c r="B7" s="45">
        <v>247</v>
      </c>
      <c r="C7" s="23" t="s">
        <v>33</v>
      </c>
      <c r="D7" s="20" t="s">
        <v>52</v>
      </c>
      <c r="E7" s="20" t="s">
        <v>40</v>
      </c>
      <c r="F7" s="21"/>
      <c r="H7" s="59">
        <v>3</v>
      </c>
      <c r="I7" s="59" t="s">
        <v>85</v>
      </c>
      <c r="J7" s="59">
        <f t="shared" si="0"/>
        <v>5</v>
      </c>
    </row>
    <row r="8" spans="1:10" ht="33.75" customHeight="1">
      <c r="A8" s="40">
        <v>5</v>
      </c>
      <c r="B8" s="45">
        <v>248</v>
      </c>
      <c r="C8" s="43" t="s">
        <v>33</v>
      </c>
      <c r="D8" s="20" t="s">
        <v>40</v>
      </c>
      <c r="E8" s="20" t="s">
        <v>52</v>
      </c>
      <c r="F8" s="21"/>
      <c r="H8" s="59">
        <v>4</v>
      </c>
      <c r="I8" s="59" t="s">
        <v>86</v>
      </c>
      <c r="J8" s="59">
        <f t="shared" si="0"/>
        <v>1</v>
      </c>
    </row>
    <row r="9" spans="1:10" ht="33.75" customHeight="1">
      <c r="A9" s="40">
        <v>6</v>
      </c>
      <c r="B9" s="45">
        <v>66</v>
      </c>
      <c r="C9" s="57" t="s">
        <v>41</v>
      </c>
      <c r="D9" s="58" t="s">
        <v>38</v>
      </c>
      <c r="E9" s="58" t="s">
        <v>33</v>
      </c>
      <c r="F9" s="21"/>
      <c r="H9" s="59">
        <v>5</v>
      </c>
      <c r="I9" s="59" t="s">
        <v>87</v>
      </c>
      <c r="J9" s="59">
        <f t="shared" si="0"/>
        <v>0</v>
      </c>
    </row>
    <row r="10" spans="1:10" ht="33.75" customHeight="1">
      <c r="A10" s="40">
        <v>7</v>
      </c>
      <c r="B10" s="45">
        <v>63</v>
      </c>
      <c r="C10" s="57" t="s">
        <v>57</v>
      </c>
      <c r="D10" s="58" t="s">
        <v>35</v>
      </c>
      <c r="E10" s="58" t="s">
        <v>46</v>
      </c>
      <c r="F10" s="21"/>
      <c r="H10" s="59">
        <v>6</v>
      </c>
      <c r="I10" s="59" t="s">
        <v>88</v>
      </c>
      <c r="J10" s="59">
        <f t="shared" si="0"/>
        <v>3</v>
      </c>
    </row>
    <row r="11" spans="1:10" ht="33.75" customHeight="1">
      <c r="A11" s="40">
        <v>8</v>
      </c>
      <c r="B11" s="45">
        <v>255</v>
      </c>
      <c r="C11" s="57" t="s">
        <v>40</v>
      </c>
      <c r="D11" s="58" t="s">
        <v>43</v>
      </c>
      <c r="E11" s="58" t="s">
        <v>55</v>
      </c>
      <c r="F11" s="21"/>
      <c r="H11" s="59">
        <v>7</v>
      </c>
      <c r="I11" s="59" t="s">
        <v>89</v>
      </c>
      <c r="J11" s="59">
        <f t="shared" si="0"/>
        <v>75</v>
      </c>
    </row>
    <row r="12" spans="1:10" ht="33.75" customHeight="1">
      <c r="A12" s="40">
        <v>9</v>
      </c>
      <c r="B12" s="45">
        <v>259</v>
      </c>
      <c r="C12" s="43" t="s">
        <v>35</v>
      </c>
      <c r="D12" s="58" t="s">
        <v>50</v>
      </c>
      <c r="E12" s="58" t="s">
        <v>28</v>
      </c>
      <c r="F12" s="21"/>
      <c r="H12" s="59">
        <v>8</v>
      </c>
      <c r="I12" s="59" t="s">
        <v>90</v>
      </c>
      <c r="J12" s="59">
        <f t="shared" si="0"/>
        <v>0</v>
      </c>
    </row>
    <row r="13" spans="1:10" ht="33.75" customHeight="1">
      <c r="A13" s="40">
        <v>10</v>
      </c>
      <c r="B13" s="45">
        <v>148</v>
      </c>
      <c r="C13" s="43" t="s">
        <v>57</v>
      </c>
      <c r="D13" s="58" t="s">
        <v>33</v>
      </c>
      <c r="E13" s="58" t="s">
        <v>38</v>
      </c>
      <c r="F13" s="21"/>
      <c r="H13" s="59">
        <v>9</v>
      </c>
      <c r="I13" s="59" t="s">
        <v>91</v>
      </c>
      <c r="J13" s="59">
        <f t="shared" si="0"/>
        <v>70</v>
      </c>
    </row>
    <row r="14" spans="1:10" ht="33.75" customHeight="1">
      <c r="A14" s="40">
        <v>11</v>
      </c>
      <c r="B14" s="45">
        <v>151</v>
      </c>
      <c r="C14" s="43" t="s">
        <v>40</v>
      </c>
      <c r="D14" s="58" t="s">
        <v>43</v>
      </c>
      <c r="E14" s="58" t="s">
        <v>57</v>
      </c>
      <c r="F14" s="21"/>
      <c r="H14" s="59">
        <v>10</v>
      </c>
      <c r="I14" s="59" t="s">
        <v>92</v>
      </c>
      <c r="J14" s="59">
        <f t="shared" si="0"/>
        <v>1</v>
      </c>
    </row>
    <row r="15" spans="1:10" ht="33.75" customHeight="1">
      <c r="A15" s="40">
        <v>12</v>
      </c>
      <c r="B15" s="45">
        <v>150</v>
      </c>
      <c r="C15" s="43" t="s">
        <v>43</v>
      </c>
      <c r="D15" s="58" t="s">
        <v>35</v>
      </c>
      <c r="E15" s="58" t="s">
        <v>33</v>
      </c>
      <c r="F15" s="21"/>
      <c r="H15" s="59">
        <v>11</v>
      </c>
      <c r="I15" s="59" t="s">
        <v>142</v>
      </c>
      <c r="J15" s="59">
        <f t="shared" si="0"/>
        <v>0</v>
      </c>
    </row>
    <row r="16" spans="1:10" ht="33.75" customHeight="1">
      <c r="A16" s="40">
        <v>13</v>
      </c>
      <c r="B16" s="45">
        <v>264</v>
      </c>
      <c r="C16" s="43" t="s">
        <v>27</v>
      </c>
      <c r="D16" s="58" t="s">
        <v>40</v>
      </c>
      <c r="E16" s="58" t="s">
        <v>41</v>
      </c>
      <c r="F16" s="21"/>
      <c r="H16" s="59">
        <v>12</v>
      </c>
      <c r="I16" s="59" t="s">
        <v>93</v>
      </c>
      <c r="J16" s="59">
        <f t="shared" si="0"/>
        <v>34</v>
      </c>
    </row>
    <row r="17" spans="1:10" ht="33.75" customHeight="1">
      <c r="A17" s="40">
        <v>14</v>
      </c>
      <c r="B17" s="45">
        <v>156</v>
      </c>
      <c r="C17" s="43" t="s">
        <v>35</v>
      </c>
      <c r="D17" s="58" t="s">
        <v>57</v>
      </c>
      <c r="E17" s="58" t="s">
        <v>33</v>
      </c>
      <c r="F17" s="21"/>
      <c r="H17" s="59">
        <v>13</v>
      </c>
      <c r="I17" s="59" t="s">
        <v>94</v>
      </c>
      <c r="J17" s="59">
        <f t="shared" si="0"/>
        <v>2</v>
      </c>
    </row>
    <row r="18" spans="1:10" ht="33.75" customHeight="1">
      <c r="A18" s="40">
        <v>15</v>
      </c>
      <c r="B18" s="45">
        <v>337</v>
      </c>
      <c r="C18" s="43" t="s">
        <v>57</v>
      </c>
      <c r="D18" s="58" t="s">
        <v>35</v>
      </c>
      <c r="E18" s="58" t="s">
        <v>43</v>
      </c>
      <c r="F18" s="21"/>
      <c r="H18" s="59">
        <v>14</v>
      </c>
      <c r="I18" s="59" t="s">
        <v>95</v>
      </c>
      <c r="J18" s="59">
        <f t="shared" si="0"/>
        <v>36</v>
      </c>
    </row>
    <row r="19" spans="1:10" ht="33.75" customHeight="1">
      <c r="A19" s="40">
        <v>16</v>
      </c>
      <c r="B19" s="45">
        <v>312</v>
      </c>
      <c r="C19" s="43" t="s">
        <v>33</v>
      </c>
      <c r="D19" s="58" t="s">
        <v>40</v>
      </c>
      <c r="E19" s="58" t="s">
        <v>52</v>
      </c>
      <c r="F19" s="21"/>
      <c r="H19" s="59">
        <v>15</v>
      </c>
      <c r="I19" s="59" t="s">
        <v>96</v>
      </c>
      <c r="J19" s="59">
        <f t="shared" si="0"/>
        <v>7</v>
      </c>
    </row>
    <row r="20" spans="1:10" ht="33.75" customHeight="1">
      <c r="A20" s="40">
        <v>17</v>
      </c>
      <c r="B20" s="45">
        <v>338</v>
      </c>
      <c r="C20" s="43" t="s">
        <v>35</v>
      </c>
      <c r="D20" s="58" t="s">
        <v>57</v>
      </c>
      <c r="E20" s="58" t="s">
        <v>33</v>
      </c>
      <c r="F20" s="21"/>
      <c r="H20" s="59">
        <v>16</v>
      </c>
      <c r="I20" s="59" t="s">
        <v>97</v>
      </c>
      <c r="J20" s="59">
        <f t="shared" si="0"/>
        <v>3</v>
      </c>
    </row>
    <row r="21" spans="1:10" ht="33.75" customHeight="1">
      <c r="A21" s="40">
        <v>18</v>
      </c>
      <c r="B21" s="45">
        <v>335</v>
      </c>
      <c r="C21" s="43" t="s">
        <v>57</v>
      </c>
      <c r="D21" s="58" t="s">
        <v>33</v>
      </c>
      <c r="E21" s="58" t="s">
        <v>40</v>
      </c>
      <c r="F21" s="21"/>
      <c r="H21" s="59">
        <v>17</v>
      </c>
      <c r="I21" s="59" t="s">
        <v>98</v>
      </c>
      <c r="J21" s="59">
        <f t="shared" si="0"/>
        <v>33</v>
      </c>
    </row>
    <row r="22" spans="1:10" ht="33.75" customHeight="1">
      <c r="A22" s="40">
        <v>19</v>
      </c>
      <c r="B22" s="45">
        <v>101</v>
      </c>
      <c r="C22" s="43" t="s">
        <v>35</v>
      </c>
      <c r="D22" s="58" t="s">
        <v>43</v>
      </c>
      <c r="E22" s="58" t="s">
        <v>33</v>
      </c>
      <c r="F22" s="21"/>
      <c r="H22" s="59">
        <v>18</v>
      </c>
      <c r="I22" s="59" t="s">
        <v>99</v>
      </c>
      <c r="J22" s="59">
        <f t="shared" si="0"/>
        <v>1</v>
      </c>
    </row>
    <row r="23" spans="1:10" ht="33.75" customHeight="1">
      <c r="A23" s="40">
        <v>20</v>
      </c>
      <c r="B23" s="45">
        <v>427</v>
      </c>
      <c r="C23" s="43" t="s">
        <v>33</v>
      </c>
      <c r="D23" s="58" t="s">
        <v>38</v>
      </c>
      <c r="E23" s="58" t="s">
        <v>35</v>
      </c>
      <c r="F23" s="21"/>
      <c r="H23" s="59">
        <v>19</v>
      </c>
      <c r="I23" s="59" t="s">
        <v>100</v>
      </c>
      <c r="J23" s="59">
        <f t="shared" si="0"/>
        <v>0</v>
      </c>
    </row>
    <row r="24" spans="1:10" ht="33.75" customHeight="1">
      <c r="A24" s="40">
        <v>21</v>
      </c>
      <c r="B24" s="45">
        <v>79</v>
      </c>
      <c r="C24" s="43" t="s">
        <v>42</v>
      </c>
      <c r="D24" s="58" t="s">
        <v>35</v>
      </c>
      <c r="E24" s="58" t="s">
        <v>136</v>
      </c>
      <c r="F24" s="21"/>
      <c r="H24" s="59">
        <v>20</v>
      </c>
      <c r="I24" s="59" t="s">
        <v>101</v>
      </c>
      <c r="J24" s="59">
        <f t="shared" si="0"/>
        <v>17</v>
      </c>
    </row>
    <row r="25" spans="1:10" ht="33.75" customHeight="1">
      <c r="A25" s="40">
        <v>22</v>
      </c>
      <c r="B25" s="45">
        <v>409</v>
      </c>
      <c r="C25" s="43" t="s">
        <v>32</v>
      </c>
      <c r="D25" s="58" t="s">
        <v>35</v>
      </c>
      <c r="E25" s="58" t="s">
        <v>33</v>
      </c>
      <c r="F25" s="21"/>
      <c r="H25" s="59">
        <v>21</v>
      </c>
      <c r="I25" s="59" t="s">
        <v>102</v>
      </c>
      <c r="J25" s="59">
        <f t="shared" si="0"/>
        <v>0</v>
      </c>
    </row>
    <row r="26" spans="1:10" ht="33.75" customHeight="1">
      <c r="A26" s="40">
        <v>23</v>
      </c>
      <c r="B26" s="45">
        <v>206</v>
      </c>
      <c r="C26" s="43" t="s">
        <v>33</v>
      </c>
      <c r="D26" s="58" t="s">
        <v>38</v>
      </c>
      <c r="E26" s="58" t="s">
        <v>57</v>
      </c>
      <c r="F26" s="21"/>
      <c r="H26" s="59">
        <v>22</v>
      </c>
      <c r="I26" s="59" t="s">
        <v>103</v>
      </c>
      <c r="J26" s="59">
        <f t="shared" si="0"/>
        <v>0</v>
      </c>
    </row>
    <row r="27" spans="1:10" ht="33.75" customHeight="1">
      <c r="A27" s="40">
        <v>24</v>
      </c>
      <c r="B27" s="45">
        <v>89</v>
      </c>
      <c r="C27" s="43" t="s">
        <v>57</v>
      </c>
      <c r="D27" s="58" t="s">
        <v>51</v>
      </c>
      <c r="E27" s="58" t="s">
        <v>33</v>
      </c>
      <c r="F27" s="21"/>
      <c r="H27" s="59">
        <v>23</v>
      </c>
      <c r="I27" s="59" t="s">
        <v>104</v>
      </c>
      <c r="J27" s="59">
        <f t="shared" si="0"/>
        <v>29</v>
      </c>
    </row>
    <row r="28" spans="1:10" ht="33.75" customHeight="1">
      <c r="A28" s="40">
        <v>25</v>
      </c>
      <c r="B28" s="45">
        <v>100</v>
      </c>
      <c r="C28" s="43" t="s">
        <v>35</v>
      </c>
      <c r="D28" s="58" t="s">
        <v>57</v>
      </c>
      <c r="E28" s="58" t="s">
        <v>65</v>
      </c>
      <c r="F28" s="21"/>
      <c r="H28" s="59">
        <v>24</v>
      </c>
      <c r="I28" s="59" t="s">
        <v>105</v>
      </c>
      <c r="J28" s="59">
        <f t="shared" si="0"/>
        <v>6</v>
      </c>
    </row>
    <row r="29" spans="1:10" ht="33.75" customHeight="1">
      <c r="A29" s="40">
        <v>26</v>
      </c>
      <c r="B29" s="45">
        <v>65</v>
      </c>
      <c r="C29" s="43" t="s">
        <v>43</v>
      </c>
      <c r="D29" s="58" t="s">
        <v>57</v>
      </c>
      <c r="E29" s="58" t="s">
        <v>40</v>
      </c>
      <c r="F29" s="21"/>
      <c r="H29" s="59">
        <v>25</v>
      </c>
      <c r="I29" s="59" t="s">
        <v>106</v>
      </c>
      <c r="J29" s="59">
        <f t="shared" si="0"/>
        <v>8</v>
      </c>
    </row>
    <row r="30" spans="1:10" ht="33.75" customHeight="1">
      <c r="A30" s="40">
        <v>27</v>
      </c>
      <c r="B30" s="45">
        <v>73</v>
      </c>
      <c r="C30" s="43" t="s">
        <v>40</v>
      </c>
      <c r="D30" s="58" t="s">
        <v>46</v>
      </c>
      <c r="E30" s="58" t="s">
        <v>44</v>
      </c>
      <c r="F30" s="21"/>
      <c r="H30" s="59">
        <v>26</v>
      </c>
      <c r="I30" s="59" t="s">
        <v>107</v>
      </c>
      <c r="J30" s="59">
        <f t="shared" si="0"/>
        <v>15</v>
      </c>
    </row>
    <row r="31" spans="1:10" ht="33.75" customHeight="1">
      <c r="A31" s="40">
        <v>28</v>
      </c>
      <c r="B31" s="45">
        <v>254</v>
      </c>
      <c r="C31" s="43" t="s">
        <v>33</v>
      </c>
      <c r="D31" s="58" t="s">
        <v>40</v>
      </c>
      <c r="E31" s="58" t="s">
        <v>57</v>
      </c>
      <c r="F31" s="21"/>
      <c r="H31" s="59">
        <v>27</v>
      </c>
      <c r="I31" s="59" t="s">
        <v>108</v>
      </c>
      <c r="J31" s="59">
        <f t="shared" si="0"/>
        <v>0</v>
      </c>
    </row>
    <row r="32" spans="1:10" ht="33.75" customHeight="1">
      <c r="A32" s="40">
        <v>29</v>
      </c>
      <c r="B32" s="45">
        <v>450</v>
      </c>
      <c r="C32" s="43" t="s">
        <v>35</v>
      </c>
      <c r="D32" s="58" t="s">
        <v>41</v>
      </c>
      <c r="E32" s="58" t="s">
        <v>58</v>
      </c>
      <c r="F32" s="21"/>
      <c r="H32" s="59">
        <v>28</v>
      </c>
      <c r="I32" s="59" t="s">
        <v>109</v>
      </c>
      <c r="J32" s="59">
        <f t="shared" si="0"/>
        <v>0</v>
      </c>
    </row>
    <row r="33" spans="1:10" ht="33.75" customHeight="1">
      <c r="A33" s="40">
        <v>30</v>
      </c>
      <c r="B33" s="45">
        <v>137</v>
      </c>
      <c r="C33" s="43" t="s">
        <v>46</v>
      </c>
      <c r="D33" s="58" t="s">
        <v>43</v>
      </c>
      <c r="E33" s="58" t="s">
        <v>41</v>
      </c>
      <c r="F33" s="21"/>
      <c r="H33" s="59">
        <v>29</v>
      </c>
      <c r="I33" s="59" t="s">
        <v>110</v>
      </c>
      <c r="J33" s="59">
        <f t="shared" si="0"/>
        <v>1</v>
      </c>
    </row>
    <row r="34" spans="1:10" ht="33.75" customHeight="1">
      <c r="A34" s="40">
        <v>31</v>
      </c>
      <c r="B34" s="45">
        <v>96</v>
      </c>
      <c r="C34" s="43" t="s">
        <v>49</v>
      </c>
      <c r="D34" s="58" t="s">
        <v>57</v>
      </c>
      <c r="E34" s="58" t="s">
        <v>40</v>
      </c>
      <c r="F34" s="21"/>
      <c r="H34" s="59">
        <v>30</v>
      </c>
      <c r="I34" s="59" t="s">
        <v>111</v>
      </c>
      <c r="J34" s="59">
        <f t="shared" si="0"/>
        <v>0</v>
      </c>
    </row>
    <row r="35" spans="1:10" ht="33.75" customHeight="1">
      <c r="A35" s="40">
        <v>32</v>
      </c>
      <c r="B35" s="45">
        <v>163</v>
      </c>
      <c r="C35" s="43" t="s">
        <v>57</v>
      </c>
      <c r="D35" s="58" t="s">
        <v>35</v>
      </c>
      <c r="E35" s="58" t="s">
        <v>33</v>
      </c>
      <c r="F35" s="21"/>
      <c r="H35" s="59">
        <v>31</v>
      </c>
      <c r="I35" s="59" t="s">
        <v>112</v>
      </c>
      <c r="J35" s="59">
        <f t="shared" si="0"/>
        <v>72</v>
      </c>
    </row>
    <row r="36" spans="1:10" ht="33.75" customHeight="1">
      <c r="A36" s="40">
        <v>33</v>
      </c>
      <c r="B36" s="45">
        <v>98</v>
      </c>
      <c r="C36" s="43" t="s">
        <v>91</v>
      </c>
      <c r="D36" s="58" t="s">
        <v>57</v>
      </c>
      <c r="E36" s="58" t="s">
        <v>33</v>
      </c>
      <c r="F36" s="21"/>
      <c r="H36" s="59">
        <v>32</v>
      </c>
      <c r="I36" s="59" t="s">
        <v>113</v>
      </c>
      <c r="J36" s="59">
        <f t="shared" si="0"/>
        <v>1</v>
      </c>
    </row>
    <row r="37" spans="1:10" ht="33.75" customHeight="1">
      <c r="A37" s="40">
        <v>34</v>
      </c>
      <c r="B37" s="45">
        <v>165</v>
      </c>
      <c r="C37" s="43" t="s">
        <v>35</v>
      </c>
      <c r="D37" s="58" t="s">
        <v>50</v>
      </c>
      <c r="E37" s="58" t="s">
        <v>49</v>
      </c>
      <c r="F37" s="21"/>
      <c r="H37" s="59">
        <v>33</v>
      </c>
      <c r="I37" s="59" t="s">
        <v>114</v>
      </c>
      <c r="J37" s="59">
        <f t="shared" si="0"/>
        <v>6</v>
      </c>
    </row>
    <row r="38" spans="1:10" ht="33.75" customHeight="1">
      <c r="A38" s="40">
        <v>35</v>
      </c>
      <c r="B38" s="45">
        <v>267</v>
      </c>
      <c r="C38" s="43" t="s">
        <v>43</v>
      </c>
      <c r="D38" s="58" t="s">
        <v>38</v>
      </c>
      <c r="E38" s="58" t="s">
        <v>40</v>
      </c>
      <c r="F38" s="21"/>
      <c r="H38" s="59">
        <v>34</v>
      </c>
      <c r="I38" s="59" t="s">
        <v>115</v>
      </c>
      <c r="J38" s="59">
        <f t="shared" si="0"/>
        <v>0</v>
      </c>
    </row>
    <row r="39" spans="1:10" ht="33.75" customHeight="1">
      <c r="A39" s="40">
        <v>36</v>
      </c>
      <c r="B39" s="45">
        <v>271</v>
      </c>
      <c r="C39" s="43" t="s">
        <v>38</v>
      </c>
      <c r="D39" s="58" t="s">
        <v>51</v>
      </c>
      <c r="E39" s="58" t="s">
        <v>46</v>
      </c>
      <c r="F39" s="21"/>
      <c r="H39" s="59">
        <v>35</v>
      </c>
      <c r="I39" s="59" t="s">
        <v>116</v>
      </c>
      <c r="J39" s="59">
        <f t="shared" si="0"/>
        <v>0</v>
      </c>
    </row>
    <row r="40" spans="1:10" ht="33.75" customHeight="1">
      <c r="A40" s="40">
        <v>37</v>
      </c>
      <c r="B40" s="45">
        <v>81</v>
      </c>
      <c r="C40" s="43" t="s">
        <v>57</v>
      </c>
      <c r="D40" s="58" t="s">
        <v>35</v>
      </c>
      <c r="E40" s="58" t="s">
        <v>138</v>
      </c>
      <c r="F40" s="21"/>
      <c r="H40" s="59">
        <v>36</v>
      </c>
      <c r="I40" s="59" t="s">
        <v>117</v>
      </c>
      <c r="J40" s="59">
        <f t="shared" si="0"/>
        <v>0</v>
      </c>
    </row>
    <row r="41" spans="1:10" ht="33.75" customHeight="1">
      <c r="A41" s="40">
        <v>38</v>
      </c>
      <c r="B41" s="45">
        <v>160</v>
      </c>
      <c r="C41" s="43" t="s">
        <v>33</v>
      </c>
      <c r="D41" s="58" t="s">
        <v>35</v>
      </c>
      <c r="E41" s="58" t="s">
        <v>29</v>
      </c>
      <c r="F41" s="21"/>
      <c r="H41" s="59">
        <v>37</v>
      </c>
      <c r="I41" s="59" t="s">
        <v>118</v>
      </c>
      <c r="J41" s="59">
        <f t="shared" si="0"/>
        <v>0</v>
      </c>
    </row>
    <row r="42" spans="1:10" ht="33.75" customHeight="1">
      <c r="A42" s="40">
        <v>39</v>
      </c>
      <c r="B42" s="45">
        <v>441</v>
      </c>
      <c r="C42" s="43" t="s">
        <v>57</v>
      </c>
      <c r="D42" s="58"/>
      <c r="E42" s="58"/>
      <c r="F42" s="21"/>
      <c r="H42" s="59">
        <v>38</v>
      </c>
      <c r="I42" s="59" t="s">
        <v>119</v>
      </c>
      <c r="J42" s="59">
        <f t="shared" si="0"/>
        <v>0</v>
      </c>
    </row>
    <row r="43" spans="1:10" ht="33.75" customHeight="1">
      <c r="A43" s="40">
        <v>40</v>
      </c>
      <c r="B43" s="45">
        <v>303</v>
      </c>
      <c r="C43" s="43" t="s">
        <v>41</v>
      </c>
      <c r="D43" s="58" t="s">
        <v>50</v>
      </c>
      <c r="E43" s="58" t="s">
        <v>140</v>
      </c>
      <c r="F43" s="21"/>
      <c r="H43" s="59">
        <v>39</v>
      </c>
      <c r="I43" s="59" t="s">
        <v>120</v>
      </c>
      <c r="J43" s="59">
        <f t="shared" si="0"/>
        <v>4</v>
      </c>
    </row>
    <row r="44" spans="1:10" ht="33.75" customHeight="1">
      <c r="A44" s="40">
        <v>41</v>
      </c>
      <c r="B44" s="45">
        <v>339</v>
      </c>
      <c r="C44" s="43" t="s">
        <v>57</v>
      </c>
      <c r="D44" s="58" t="s">
        <v>35</v>
      </c>
      <c r="E44" s="58" t="s">
        <v>33</v>
      </c>
      <c r="F44" s="21"/>
      <c r="H44" s="59">
        <v>40</v>
      </c>
      <c r="I44" s="59" t="s">
        <v>121</v>
      </c>
      <c r="J44" s="59">
        <f t="shared" si="0"/>
        <v>0</v>
      </c>
    </row>
    <row r="45" spans="1:10" ht="33.75" customHeight="1">
      <c r="A45" s="40">
        <v>42</v>
      </c>
      <c r="B45" s="45">
        <v>155</v>
      </c>
      <c r="C45" s="43" t="s">
        <v>43</v>
      </c>
      <c r="D45" s="58" t="s">
        <v>51</v>
      </c>
      <c r="E45" s="58" t="s">
        <v>65</v>
      </c>
      <c r="F45" s="21"/>
      <c r="H45" s="59">
        <v>41</v>
      </c>
      <c r="I45" s="59" t="s">
        <v>122</v>
      </c>
      <c r="J45" s="59">
        <f t="shared" si="0"/>
        <v>0</v>
      </c>
    </row>
    <row r="46" spans="1:10" ht="33.75" customHeight="1">
      <c r="A46" s="40">
        <v>43</v>
      </c>
      <c r="B46" s="45">
        <v>11</v>
      </c>
      <c r="C46" s="43" t="s">
        <v>35</v>
      </c>
      <c r="D46" s="58" t="s">
        <v>57</v>
      </c>
      <c r="E46" s="58" t="s">
        <v>33</v>
      </c>
      <c r="F46" s="21"/>
      <c r="H46" s="59">
        <v>42</v>
      </c>
      <c r="I46" s="59" t="s">
        <v>123</v>
      </c>
      <c r="J46" s="59">
        <f t="shared" si="0"/>
        <v>1</v>
      </c>
    </row>
    <row r="47" spans="1:10" ht="33.75" customHeight="1">
      <c r="A47" s="40">
        <v>44</v>
      </c>
      <c r="B47" s="45">
        <v>106</v>
      </c>
      <c r="C47" s="43" t="s">
        <v>49</v>
      </c>
      <c r="D47" s="58" t="s">
        <v>40</v>
      </c>
      <c r="E47" s="58" t="s">
        <v>35</v>
      </c>
      <c r="F47" s="21"/>
      <c r="H47" s="59">
        <v>43</v>
      </c>
      <c r="I47" s="59" t="s">
        <v>124</v>
      </c>
      <c r="J47" s="59">
        <f t="shared" si="0"/>
        <v>0</v>
      </c>
    </row>
    <row r="48" spans="1:10" ht="33.75" customHeight="1">
      <c r="A48" s="40">
        <v>45</v>
      </c>
      <c r="B48" s="45">
        <v>314</v>
      </c>
      <c r="C48" s="43" t="s">
        <v>49</v>
      </c>
      <c r="D48" s="58" t="s">
        <v>43</v>
      </c>
      <c r="E48" s="58" t="s">
        <v>40</v>
      </c>
      <c r="F48" s="21"/>
      <c r="H48" s="59">
        <v>44</v>
      </c>
      <c r="I48" s="59" t="s">
        <v>125</v>
      </c>
      <c r="J48" s="59">
        <f t="shared" si="0"/>
        <v>0</v>
      </c>
    </row>
    <row r="49" spans="1:10" ht="33.75" customHeight="1">
      <c r="A49" s="40">
        <v>46</v>
      </c>
      <c r="B49" s="45">
        <v>240</v>
      </c>
      <c r="C49" s="43" t="s">
        <v>57</v>
      </c>
      <c r="D49" s="58" t="s">
        <v>33</v>
      </c>
      <c r="E49" s="58" t="s">
        <v>35</v>
      </c>
      <c r="F49" s="21"/>
      <c r="H49" s="59">
        <v>45</v>
      </c>
      <c r="I49" s="59" t="s">
        <v>126</v>
      </c>
      <c r="J49" s="59">
        <f t="shared" si="0"/>
        <v>0</v>
      </c>
    </row>
    <row r="50" spans="1:10" ht="33.75" customHeight="1">
      <c r="A50" s="40">
        <v>47</v>
      </c>
      <c r="B50" s="45">
        <v>125</v>
      </c>
      <c r="C50" s="43" t="s">
        <v>35</v>
      </c>
      <c r="D50" s="58" t="s">
        <v>57</v>
      </c>
      <c r="E50" s="58" t="s">
        <v>49</v>
      </c>
      <c r="F50" s="21"/>
      <c r="H50" s="59">
        <v>46</v>
      </c>
      <c r="I50" s="59" t="s">
        <v>127</v>
      </c>
      <c r="J50" s="59">
        <f t="shared" si="0"/>
        <v>0</v>
      </c>
    </row>
    <row r="51" spans="1:10" ht="33.75" customHeight="1">
      <c r="A51" s="40">
        <v>48</v>
      </c>
      <c r="B51" s="45">
        <v>105</v>
      </c>
      <c r="C51" s="43" t="s">
        <v>33</v>
      </c>
      <c r="D51" s="58" t="s">
        <v>35</v>
      </c>
      <c r="E51" s="58" t="s">
        <v>57</v>
      </c>
      <c r="F51" s="21"/>
      <c r="H51" s="59">
        <v>47</v>
      </c>
      <c r="I51" s="59" t="s">
        <v>128</v>
      </c>
      <c r="J51" s="59">
        <f t="shared" si="0"/>
        <v>3</v>
      </c>
    </row>
    <row r="52" spans="1:10" ht="33.75" customHeight="1">
      <c r="A52" s="40">
        <v>49</v>
      </c>
      <c r="B52" s="45">
        <v>130</v>
      </c>
      <c r="C52" s="43" t="s">
        <v>65</v>
      </c>
      <c r="D52" s="58" t="s">
        <v>35</v>
      </c>
      <c r="E52" s="58" t="s">
        <v>59</v>
      </c>
      <c r="F52" s="21"/>
      <c r="H52" s="59">
        <v>48</v>
      </c>
      <c r="I52" s="59" t="s">
        <v>149</v>
      </c>
      <c r="J52" s="59">
        <f t="shared" si="0"/>
        <v>1</v>
      </c>
    </row>
    <row r="53" spans="1:10" ht="33.75" customHeight="1">
      <c r="A53" s="40">
        <v>50</v>
      </c>
      <c r="B53" s="45">
        <v>332</v>
      </c>
      <c r="C53" s="43" t="s">
        <v>33</v>
      </c>
      <c r="D53" s="58" t="s">
        <v>35</v>
      </c>
      <c r="E53" s="58" t="s">
        <v>43</v>
      </c>
      <c r="F53" s="21"/>
      <c r="H53" s="59">
        <v>49</v>
      </c>
      <c r="I53" s="59" t="s">
        <v>150</v>
      </c>
      <c r="J53" s="59">
        <f t="shared" si="0"/>
        <v>1</v>
      </c>
    </row>
    <row r="54" spans="1:10" ht="33.75" customHeight="1">
      <c r="A54" s="40">
        <v>51</v>
      </c>
      <c r="B54" s="45">
        <v>194</v>
      </c>
      <c r="C54" s="43" t="s">
        <v>35</v>
      </c>
      <c r="D54" s="58" t="s">
        <v>40</v>
      </c>
      <c r="E54" s="58" t="s">
        <v>49</v>
      </c>
      <c r="F54" s="21"/>
      <c r="H54" s="59">
        <v>50</v>
      </c>
      <c r="I54" s="59" t="s">
        <v>151</v>
      </c>
      <c r="J54" s="59">
        <f t="shared" si="0"/>
        <v>1</v>
      </c>
    </row>
    <row r="55" spans="1:10" ht="33.75" customHeight="1">
      <c r="A55" s="40">
        <v>52</v>
      </c>
      <c r="B55" s="45">
        <v>453</v>
      </c>
      <c r="C55" s="43" t="s">
        <v>43</v>
      </c>
      <c r="D55" s="58" t="s">
        <v>40</v>
      </c>
      <c r="E55" s="58" t="s">
        <v>59</v>
      </c>
      <c r="F55" s="21"/>
      <c r="H55" s="59">
        <v>51</v>
      </c>
      <c r="I55" s="59" t="s">
        <v>152</v>
      </c>
      <c r="J55" s="59">
        <f t="shared" si="0"/>
        <v>1</v>
      </c>
    </row>
    <row r="56" spans="1:10" ht="33.75" customHeight="1">
      <c r="A56" s="40">
        <v>53</v>
      </c>
      <c r="B56" s="45">
        <v>265</v>
      </c>
      <c r="C56" s="43" t="s">
        <v>35</v>
      </c>
      <c r="D56" s="58" t="s">
        <v>40</v>
      </c>
      <c r="E56" s="58" t="s">
        <v>38</v>
      </c>
      <c r="F56" s="21"/>
      <c r="H56" s="59">
        <v>52</v>
      </c>
      <c r="I56" s="59" t="s">
        <v>153</v>
      </c>
      <c r="J56" s="59">
        <f>COUNTIF(($C$4:$E$207),I56)</f>
        <v>1</v>
      </c>
    </row>
    <row r="57" spans="1:10" ht="33.75" customHeight="1">
      <c r="A57" s="40">
        <v>54</v>
      </c>
      <c r="B57" s="45">
        <v>447</v>
      </c>
      <c r="C57" s="43" t="s">
        <v>43</v>
      </c>
      <c r="D57" s="58" t="s">
        <v>35</v>
      </c>
      <c r="E57" s="58" t="s">
        <v>40</v>
      </c>
      <c r="F57" s="21"/>
      <c r="H57" s="59">
        <v>53</v>
      </c>
      <c r="I57" s="59" t="s">
        <v>154</v>
      </c>
      <c r="J57" s="59">
        <f>COUNTIF(($C$4:$E$207),I57)</f>
        <v>2</v>
      </c>
    </row>
    <row r="58" spans="1:10" ht="33.75" customHeight="1">
      <c r="A58" s="40">
        <v>55</v>
      </c>
      <c r="B58" s="45">
        <v>25</v>
      </c>
      <c r="C58" s="43" t="s">
        <v>57</v>
      </c>
      <c r="D58" s="58" t="s">
        <v>46</v>
      </c>
      <c r="E58" s="58" t="s">
        <v>38</v>
      </c>
      <c r="F58" s="21"/>
      <c r="H58" s="59">
        <v>54</v>
      </c>
      <c r="I58" s="59"/>
      <c r="J58" s="59">
        <f>COUNTIF(($C$4:$E$207),I58)</f>
        <v>0</v>
      </c>
    </row>
    <row r="59" spans="1:10" ht="33.75" customHeight="1">
      <c r="A59" s="40">
        <v>56</v>
      </c>
      <c r="B59" s="45">
        <v>333</v>
      </c>
      <c r="C59" s="43" t="s">
        <v>57</v>
      </c>
      <c r="D59" s="58" t="s">
        <v>73</v>
      </c>
      <c r="E59" s="58" t="s">
        <v>29</v>
      </c>
      <c r="F59" s="21"/>
      <c r="H59" s="59">
        <v>55</v>
      </c>
      <c r="I59" s="59"/>
      <c r="J59" s="59">
        <f t="shared" ref="J59:J65" si="1">COUNTIF(($C$4:$E$207),I59)</f>
        <v>0</v>
      </c>
    </row>
    <row r="60" spans="1:10" ht="33.75" customHeight="1">
      <c r="A60" s="40">
        <v>57</v>
      </c>
      <c r="B60" s="45">
        <v>234</v>
      </c>
      <c r="C60" s="43" t="s">
        <v>35</v>
      </c>
      <c r="D60" s="58" t="s">
        <v>33</v>
      </c>
      <c r="E60" s="58" t="s">
        <v>38</v>
      </c>
      <c r="F60" s="21"/>
      <c r="H60" s="59">
        <v>56</v>
      </c>
      <c r="I60" s="59"/>
      <c r="J60" s="59">
        <f t="shared" si="1"/>
        <v>0</v>
      </c>
    </row>
    <row r="61" spans="1:10" ht="33.75" customHeight="1">
      <c r="A61" s="40">
        <v>58</v>
      </c>
      <c r="B61" s="45">
        <v>291</v>
      </c>
      <c r="C61" s="43" t="s">
        <v>43</v>
      </c>
      <c r="D61" s="58" t="s">
        <v>40</v>
      </c>
      <c r="E61" s="58" t="s">
        <v>33</v>
      </c>
      <c r="F61" s="21"/>
      <c r="H61" s="59">
        <v>57</v>
      </c>
      <c r="I61" s="59"/>
      <c r="J61" s="59">
        <f t="shared" si="1"/>
        <v>0</v>
      </c>
    </row>
    <row r="62" spans="1:10" ht="33.75" customHeight="1">
      <c r="A62" s="40">
        <v>59</v>
      </c>
      <c r="B62" s="45">
        <v>127</v>
      </c>
      <c r="C62" s="43" t="s">
        <v>35</v>
      </c>
      <c r="D62" s="58" t="s">
        <v>33</v>
      </c>
      <c r="E62" s="58" t="s">
        <v>40</v>
      </c>
      <c r="F62" s="21"/>
      <c r="H62" s="59">
        <v>58</v>
      </c>
      <c r="I62" s="59"/>
      <c r="J62" s="59">
        <f t="shared" si="1"/>
        <v>0</v>
      </c>
    </row>
    <row r="63" spans="1:10" ht="33.75" customHeight="1">
      <c r="A63" s="40">
        <v>60</v>
      </c>
      <c r="B63" s="45">
        <v>123</v>
      </c>
      <c r="C63" s="43" t="s">
        <v>57</v>
      </c>
      <c r="D63" s="58" t="s">
        <v>46</v>
      </c>
      <c r="E63" s="58" t="s">
        <v>40</v>
      </c>
      <c r="F63" s="21"/>
      <c r="H63" s="59">
        <v>59</v>
      </c>
      <c r="I63" s="59"/>
      <c r="J63" s="59">
        <f t="shared" si="1"/>
        <v>0</v>
      </c>
    </row>
    <row r="64" spans="1:10" ht="33.75" customHeight="1">
      <c r="A64" s="40">
        <v>61</v>
      </c>
      <c r="B64" s="45">
        <v>38</v>
      </c>
      <c r="C64" s="43" t="s">
        <v>33</v>
      </c>
      <c r="D64" s="58" t="s">
        <v>46</v>
      </c>
      <c r="E64" s="58" t="s">
        <v>52</v>
      </c>
      <c r="F64" s="21"/>
      <c r="H64" s="59">
        <v>60</v>
      </c>
      <c r="I64" s="59"/>
      <c r="J64" s="59">
        <f t="shared" si="1"/>
        <v>0</v>
      </c>
    </row>
    <row r="65" spans="1:10" ht="33.75" customHeight="1">
      <c r="A65" s="40">
        <v>62</v>
      </c>
      <c r="B65" s="45">
        <v>227</v>
      </c>
      <c r="C65" s="43" t="s">
        <v>57</v>
      </c>
      <c r="D65" s="58"/>
      <c r="E65" s="58"/>
      <c r="F65" s="21"/>
      <c r="H65" s="59">
        <v>61</v>
      </c>
      <c r="I65" s="59"/>
      <c r="J65" s="59">
        <f t="shared" si="1"/>
        <v>0</v>
      </c>
    </row>
    <row r="66" spans="1:10" ht="33.75" customHeight="1">
      <c r="A66" s="40">
        <v>63</v>
      </c>
      <c r="B66" s="45">
        <v>20</v>
      </c>
      <c r="C66" s="43" t="s">
        <v>49</v>
      </c>
      <c r="D66" s="58" t="s">
        <v>43</v>
      </c>
      <c r="E66" s="58" t="s">
        <v>40</v>
      </c>
      <c r="F66" s="21"/>
      <c r="H66" s="59"/>
      <c r="I66" s="59" t="s">
        <v>129</v>
      </c>
      <c r="J66" s="59">
        <f>COUNTIF(($C$4:$E$153),"")</f>
        <v>5</v>
      </c>
    </row>
    <row r="67" spans="1:10" ht="33.75" customHeight="1">
      <c r="A67" s="40">
        <v>64</v>
      </c>
      <c r="B67" s="45">
        <v>221</v>
      </c>
      <c r="C67" s="43" t="s">
        <v>57</v>
      </c>
      <c r="D67" s="58" t="s">
        <v>33</v>
      </c>
      <c r="E67" s="58" t="s">
        <v>38</v>
      </c>
      <c r="F67" s="21"/>
      <c r="H67" s="59"/>
      <c r="I67" s="61" t="s">
        <v>130</v>
      </c>
      <c r="J67" s="59">
        <f>SUM(J5:J66)/3</f>
        <v>150</v>
      </c>
    </row>
    <row r="68" spans="1:10" ht="33.75" customHeight="1">
      <c r="A68" s="40">
        <v>65</v>
      </c>
      <c r="B68" s="45">
        <v>120</v>
      </c>
      <c r="C68" s="43" t="s">
        <v>57</v>
      </c>
      <c r="D68" s="58" t="s">
        <v>52</v>
      </c>
      <c r="E68" s="58" t="s">
        <v>49</v>
      </c>
      <c r="F68" s="21"/>
    </row>
    <row r="69" spans="1:10" ht="33.75" customHeight="1">
      <c r="A69" s="40">
        <v>66</v>
      </c>
      <c r="B69" s="45">
        <v>225</v>
      </c>
      <c r="C69" s="43" t="s">
        <v>49</v>
      </c>
      <c r="D69" s="58" t="s">
        <v>51</v>
      </c>
      <c r="E69" s="58" t="s">
        <v>33</v>
      </c>
      <c r="F69" s="21"/>
    </row>
    <row r="70" spans="1:10" ht="33.75" customHeight="1">
      <c r="A70" s="40">
        <v>67</v>
      </c>
      <c r="B70" s="45">
        <v>112</v>
      </c>
      <c r="C70" s="43" t="s">
        <v>35</v>
      </c>
      <c r="D70" s="58" t="s">
        <v>33</v>
      </c>
      <c r="E70" s="58" t="s">
        <v>40</v>
      </c>
      <c r="F70" s="21"/>
    </row>
    <row r="71" spans="1:10" ht="33.75" customHeight="1">
      <c r="A71" s="40">
        <v>68</v>
      </c>
      <c r="B71" s="45">
        <v>37</v>
      </c>
      <c r="C71" s="43" t="s">
        <v>35</v>
      </c>
      <c r="D71" s="58" t="s">
        <v>38</v>
      </c>
      <c r="E71" s="58" t="s">
        <v>52</v>
      </c>
      <c r="F71" s="21"/>
    </row>
    <row r="72" spans="1:10" ht="33.75" customHeight="1">
      <c r="A72" s="40">
        <v>69</v>
      </c>
      <c r="B72" s="45">
        <v>119</v>
      </c>
      <c r="C72" s="43" t="s">
        <v>35</v>
      </c>
      <c r="D72" s="58" t="s">
        <v>43</v>
      </c>
      <c r="E72" s="58" t="s">
        <v>57</v>
      </c>
      <c r="F72" s="21"/>
    </row>
    <row r="73" spans="1:10" ht="33.75" customHeight="1">
      <c r="A73" s="40">
        <v>70</v>
      </c>
      <c r="B73" s="45">
        <v>107</v>
      </c>
      <c r="C73" s="43" t="s">
        <v>33</v>
      </c>
      <c r="D73" s="58" t="s">
        <v>43</v>
      </c>
      <c r="E73" s="58" t="s">
        <v>40</v>
      </c>
      <c r="F73" s="21"/>
    </row>
    <row r="74" spans="1:10" ht="33.75" customHeight="1">
      <c r="A74" s="40">
        <v>71</v>
      </c>
      <c r="B74" s="45">
        <v>118</v>
      </c>
      <c r="C74" s="43" t="s">
        <v>57</v>
      </c>
      <c r="D74" s="58" t="s">
        <v>33</v>
      </c>
      <c r="E74" s="58" t="s">
        <v>35</v>
      </c>
      <c r="F74" s="21"/>
    </row>
    <row r="75" spans="1:10" ht="33.75" customHeight="1">
      <c r="A75" s="40">
        <v>72</v>
      </c>
      <c r="B75" s="45">
        <v>35</v>
      </c>
      <c r="C75" s="43" t="s">
        <v>33</v>
      </c>
      <c r="D75" s="58" t="s">
        <v>38</v>
      </c>
      <c r="E75" s="58" t="s">
        <v>57</v>
      </c>
      <c r="F75" s="21"/>
    </row>
    <row r="76" spans="1:10" ht="33.75" customHeight="1">
      <c r="A76" s="40">
        <v>73</v>
      </c>
      <c r="B76" s="45">
        <v>224</v>
      </c>
      <c r="C76" s="43" t="s">
        <v>49</v>
      </c>
      <c r="D76" s="58" t="s">
        <v>51</v>
      </c>
      <c r="E76" s="58" t="s">
        <v>43</v>
      </c>
      <c r="F76" s="21"/>
    </row>
    <row r="77" spans="1:10" ht="33.75" customHeight="1">
      <c r="A77" s="40">
        <v>74</v>
      </c>
      <c r="B77" s="45">
        <v>116</v>
      </c>
      <c r="C77" s="43" t="s">
        <v>52</v>
      </c>
      <c r="D77" s="58" t="s">
        <v>33</v>
      </c>
      <c r="E77" s="58" t="s">
        <v>35</v>
      </c>
      <c r="F77" s="21"/>
    </row>
    <row r="78" spans="1:10" ht="33.75" customHeight="1">
      <c r="A78" s="40">
        <v>75</v>
      </c>
      <c r="B78" s="45">
        <v>113</v>
      </c>
      <c r="C78" s="43" t="s">
        <v>35</v>
      </c>
      <c r="D78" s="58" t="s">
        <v>33</v>
      </c>
      <c r="E78" s="58" t="s">
        <v>46</v>
      </c>
      <c r="F78" s="21"/>
    </row>
    <row r="79" spans="1:10" ht="33.75" customHeight="1">
      <c r="A79" s="40">
        <v>76</v>
      </c>
      <c r="B79" s="45">
        <v>115</v>
      </c>
      <c r="C79" s="43" t="s">
        <v>33</v>
      </c>
      <c r="D79" s="58" t="s">
        <v>57</v>
      </c>
      <c r="E79" s="58" t="s">
        <v>52</v>
      </c>
      <c r="F79" s="21"/>
    </row>
    <row r="80" spans="1:10" ht="33.75" customHeight="1">
      <c r="A80" s="40">
        <v>77</v>
      </c>
      <c r="B80" s="45">
        <v>114</v>
      </c>
      <c r="C80" s="43" t="s">
        <v>35</v>
      </c>
      <c r="D80" s="58" t="s">
        <v>33</v>
      </c>
      <c r="E80" s="20" t="s">
        <v>43</v>
      </c>
      <c r="F80" s="21"/>
    </row>
    <row r="81" spans="1:6" ht="33.75" customHeight="1">
      <c r="A81" s="40">
        <v>78</v>
      </c>
      <c r="B81" s="45">
        <v>31</v>
      </c>
      <c r="C81" s="43" t="s">
        <v>43</v>
      </c>
      <c r="D81" s="58" t="s">
        <v>38</v>
      </c>
      <c r="E81" s="58" t="s">
        <v>57</v>
      </c>
      <c r="F81" s="21"/>
    </row>
    <row r="82" spans="1:6" ht="33.75" customHeight="1">
      <c r="A82" s="40">
        <v>79</v>
      </c>
      <c r="B82" s="45">
        <v>111</v>
      </c>
      <c r="C82" s="43" t="s">
        <v>33</v>
      </c>
      <c r="D82" s="58" t="s">
        <v>57</v>
      </c>
      <c r="E82" s="58" t="s">
        <v>46</v>
      </c>
      <c r="F82" s="21"/>
    </row>
    <row r="83" spans="1:6" ht="33.75" customHeight="1">
      <c r="A83" s="40">
        <v>80</v>
      </c>
      <c r="B83" s="45">
        <v>28</v>
      </c>
      <c r="C83" s="43" t="s">
        <v>59</v>
      </c>
      <c r="D83" s="58" t="s">
        <v>49</v>
      </c>
      <c r="E83" s="58" t="s">
        <v>51</v>
      </c>
      <c r="F83" s="21"/>
    </row>
    <row r="84" spans="1:6" ht="33.75" customHeight="1">
      <c r="A84" s="40">
        <v>81</v>
      </c>
      <c r="B84" s="45">
        <v>219</v>
      </c>
      <c r="C84" s="43" t="s">
        <v>57</v>
      </c>
      <c r="D84" s="58" t="s">
        <v>38</v>
      </c>
      <c r="E84" s="58" t="s">
        <v>50</v>
      </c>
      <c r="F84" s="21"/>
    </row>
    <row r="85" spans="1:6" ht="33.75" customHeight="1">
      <c r="A85" s="40">
        <v>82</v>
      </c>
      <c r="B85" s="45">
        <v>222</v>
      </c>
      <c r="C85" s="43" t="s">
        <v>38</v>
      </c>
      <c r="D85" s="58" t="s">
        <v>40</v>
      </c>
      <c r="E85" s="58" t="s">
        <v>35</v>
      </c>
      <c r="F85" s="21"/>
    </row>
    <row r="86" spans="1:6" ht="33.75" customHeight="1">
      <c r="A86" s="40">
        <v>83</v>
      </c>
      <c r="B86" s="45">
        <v>34</v>
      </c>
      <c r="C86" s="43" t="s">
        <v>33</v>
      </c>
      <c r="D86" s="58" t="s">
        <v>57</v>
      </c>
      <c r="E86" s="58" t="s">
        <v>52</v>
      </c>
      <c r="F86" s="21"/>
    </row>
    <row r="87" spans="1:6" ht="33.75" customHeight="1">
      <c r="A87" s="40">
        <v>84</v>
      </c>
      <c r="B87" s="45">
        <v>220</v>
      </c>
      <c r="C87" s="43" t="s">
        <v>57</v>
      </c>
      <c r="D87" s="58" t="s">
        <v>33</v>
      </c>
      <c r="E87" s="58" t="s">
        <v>38</v>
      </c>
      <c r="F87" s="21"/>
    </row>
    <row r="88" spans="1:6" ht="33.75" customHeight="1">
      <c r="A88" s="40">
        <v>85</v>
      </c>
      <c r="B88" s="45">
        <v>218</v>
      </c>
      <c r="C88" s="43" t="s">
        <v>33</v>
      </c>
      <c r="D88" s="58" t="s">
        <v>29</v>
      </c>
      <c r="E88" s="58" t="s">
        <v>30</v>
      </c>
      <c r="F88" s="21"/>
    </row>
    <row r="89" spans="1:6" ht="33.75" customHeight="1">
      <c r="A89" s="40">
        <v>86</v>
      </c>
      <c r="B89" s="45">
        <v>223</v>
      </c>
      <c r="C89" s="43" t="s">
        <v>33</v>
      </c>
      <c r="D89" s="58" t="s">
        <v>57</v>
      </c>
      <c r="E89" s="58" t="s">
        <v>35</v>
      </c>
      <c r="F89" s="21"/>
    </row>
    <row r="90" spans="1:6" ht="33.75" customHeight="1">
      <c r="A90" s="40">
        <v>87</v>
      </c>
      <c r="B90" s="45">
        <v>33</v>
      </c>
      <c r="C90" s="43" t="s">
        <v>36</v>
      </c>
      <c r="D90" s="58" t="s">
        <v>38</v>
      </c>
      <c r="E90" s="58" t="s">
        <v>49</v>
      </c>
      <c r="F90" s="21"/>
    </row>
    <row r="91" spans="1:6" ht="33.75" customHeight="1">
      <c r="A91" s="40">
        <v>88</v>
      </c>
      <c r="B91" s="45">
        <v>110</v>
      </c>
      <c r="C91" s="43" t="s">
        <v>38</v>
      </c>
      <c r="D91" s="58" t="s">
        <v>51</v>
      </c>
      <c r="E91" s="58" t="s">
        <v>49</v>
      </c>
      <c r="F91" s="21"/>
    </row>
    <row r="92" spans="1:6" ht="33.75" customHeight="1">
      <c r="A92" s="40">
        <v>89</v>
      </c>
      <c r="B92" s="45">
        <v>32</v>
      </c>
      <c r="C92" s="43" t="s">
        <v>57</v>
      </c>
      <c r="D92" s="58" t="s">
        <v>33</v>
      </c>
      <c r="E92" s="58" t="s">
        <v>35</v>
      </c>
      <c r="F92" s="21"/>
    </row>
    <row r="93" spans="1:6" ht="33.75" customHeight="1">
      <c r="A93" s="40">
        <v>90</v>
      </c>
      <c r="B93" s="45">
        <v>27</v>
      </c>
      <c r="C93" s="43" t="s">
        <v>57</v>
      </c>
      <c r="D93" s="58" t="s">
        <v>33</v>
      </c>
      <c r="E93" s="58" t="s">
        <v>32</v>
      </c>
      <c r="F93" s="21"/>
    </row>
    <row r="94" spans="1:6" ht="33.75" customHeight="1">
      <c r="A94" s="40">
        <v>91</v>
      </c>
      <c r="B94" s="45">
        <v>108</v>
      </c>
      <c r="C94" s="43" t="s">
        <v>33</v>
      </c>
      <c r="D94" s="58" t="s">
        <v>57</v>
      </c>
      <c r="E94" s="58" t="s">
        <v>38</v>
      </c>
      <c r="F94" s="21"/>
    </row>
    <row r="95" spans="1:6" ht="33.75" customHeight="1">
      <c r="A95" s="40">
        <v>92</v>
      </c>
      <c r="B95" s="45">
        <v>104</v>
      </c>
      <c r="C95" s="43" t="s">
        <v>50</v>
      </c>
      <c r="D95" s="58" t="s">
        <v>29</v>
      </c>
      <c r="E95" s="58" t="s">
        <v>40</v>
      </c>
      <c r="F95" s="21"/>
    </row>
    <row r="96" spans="1:6" ht="33.75" customHeight="1">
      <c r="A96" s="40">
        <v>93</v>
      </c>
      <c r="B96" s="45">
        <v>103</v>
      </c>
      <c r="C96" s="43" t="s">
        <v>33</v>
      </c>
      <c r="D96" s="58" t="s">
        <v>38</v>
      </c>
      <c r="E96" s="58" t="s">
        <v>35</v>
      </c>
      <c r="F96" s="21"/>
    </row>
    <row r="97" spans="1:6" ht="33.75" customHeight="1">
      <c r="A97" s="40">
        <v>94</v>
      </c>
      <c r="B97" s="45">
        <v>217</v>
      </c>
      <c r="C97" s="43" t="s">
        <v>35</v>
      </c>
      <c r="D97" s="58" t="s">
        <v>33</v>
      </c>
      <c r="E97" s="58" t="s">
        <v>57</v>
      </c>
      <c r="F97" s="21"/>
    </row>
    <row r="98" spans="1:6" ht="33.75" customHeight="1">
      <c r="A98" s="40">
        <v>95</v>
      </c>
      <c r="B98" s="45">
        <v>102</v>
      </c>
      <c r="C98" s="43" t="s">
        <v>33</v>
      </c>
      <c r="D98" s="58" t="s">
        <v>38</v>
      </c>
      <c r="E98" s="58" t="s">
        <v>35</v>
      </c>
      <c r="F98" s="21"/>
    </row>
    <row r="99" spans="1:6" ht="33.75" customHeight="1">
      <c r="A99" s="40">
        <v>96</v>
      </c>
      <c r="B99" s="45">
        <v>16</v>
      </c>
      <c r="C99" s="43" t="s">
        <v>33</v>
      </c>
      <c r="D99" s="58" t="s">
        <v>57</v>
      </c>
      <c r="E99" s="58" t="s">
        <v>35</v>
      </c>
      <c r="F99" s="21"/>
    </row>
    <row r="100" spans="1:6" ht="33.75" customHeight="1">
      <c r="A100" s="40">
        <v>97</v>
      </c>
      <c r="B100" s="45">
        <v>24</v>
      </c>
      <c r="C100" s="43" t="s">
        <v>40</v>
      </c>
      <c r="D100" s="58" t="s">
        <v>49</v>
      </c>
      <c r="E100" s="58" t="s">
        <v>52</v>
      </c>
      <c r="F100" s="21"/>
    </row>
    <row r="101" spans="1:6" ht="33.75" customHeight="1">
      <c r="A101" s="40">
        <v>98</v>
      </c>
      <c r="B101" s="45">
        <v>452</v>
      </c>
      <c r="C101" s="43" t="s">
        <v>33</v>
      </c>
      <c r="D101" s="58" t="s">
        <v>35</v>
      </c>
      <c r="E101" s="58" t="s">
        <v>57</v>
      </c>
      <c r="F101" s="21"/>
    </row>
    <row r="102" spans="1:6" ht="33.75" customHeight="1">
      <c r="A102" s="40">
        <v>99</v>
      </c>
      <c r="B102" s="45">
        <v>216</v>
      </c>
      <c r="C102" s="43" t="s">
        <v>57</v>
      </c>
      <c r="D102" s="58" t="s">
        <v>33</v>
      </c>
      <c r="E102" s="58" t="s">
        <v>35</v>
      </c>
      <c r="F102" s="21"/>
    </row>
    <row r="103" spans="1:6" ht="33.75" customHeight="1">
      <c r="A103" s="40">
        <v>100</v>
      </c>
      <c r="B103" s="45">
        <v>173</v>
      </c>
      <c r="C103" s="43" t="s">
        <v>57</v>
      </c>
      <c r="D103" s="58" t="s">
        <v>50</v>
      </c>
      <c r="E103" s="20" t="s">
        <v>35</v>
      </c>
      <c r="F103" s="21"/>
    </row>
    <row r="104" spans="1:6" ht="33.75" customHeight="1">
      <c r="A104" s="40">
        <v>101</v>
      </c>
      <c r="B104" s="45">
        <v>313</v>
      </c>
      <c r="C104" s="43" t="s">
        <v>52</v>
      </c>
      <c r="D104" s="58" t="s">
        <v>49</v>
      </c>
      <c r="E104" s="20" t="s">
        <v>46</v>
      </c>
      <c r="F104" s="21"/>
    </row>
    <row r="105" spans="1:6" ht="33.75" customHeight="1">
      <c r="A105" s="40">
        <v>102</v>
      </c>
      <c r="B105" s="45">
        <v>237</v>
      </c>
      <c r="C105" s="43" t="s">
        <v>57</v>
      </c>
      <c r="D105" s="58" t="s">
        <v>59</v>
      </c>
      <c r="E105" s="58" t="s">
        <v>28</v>
      </c>
      <c r="F105" s="21"/>
    </row>
    <row r="106" spans="1:6" ht="33.75" customHeight="1">
      <c r="A106" s="40">
        <v>103</v>
      </c>
      <c r="B106" s="45">
        <v>232</v>
      </c>
      <c r="C106" s="43" t="s">
        <v>33</v>
      </c>
      <c r="D106" s="58" t="s">
        <v>57</v>
      </c>
      <c r="E106" s="58" t="s">
        <v>52</v>
      </c>
      <c r="F106" s="21"/>
    </row>
    <row r="107" spans="1:6" ht="33.75" customHeight="1">
      <c r="A107" s="40">
        <v>104</v>
      </c>
      <c r="B107" s="45">
        <v>345</v>
      </c>
      <c r="C107" s="43" t="s">
        <v>57</v>
      </c>
      <c r="D107" s="58" t="s">
        <v>38</v>
      </c>
      <c r="E107" s="58" t="s">
        <v>46</v>
      </c>
      <c r="F107" s="21"/>
    </row>
    <row r="108" spans="1:6" ht="33.75" customHeight="1">
      <c r="A108" s="40">
        <v>105</v>
      </c>
      <c r="B108" s="45">
        <v>432</v>
      </c>
      <c r="C108" s="43" t="s">
        <v>35</v>
      </c>
      <c r="D108" s="58" t="s">
        <v>52</v>
      </c>
      <c r="E108" s="58" t="s">
        <v>49</v>
      </c>
      <c r="F108" s="21"/>
    </row>
    <row r="109" spans="1:6" ht="33.75" customHeight="1">
      <c r="A109" s="40">
        <v>106</v>
      </c>
      <c r="B109" s="45">
        <v>5</v>
      </c>
      <c r="C109" s="43" t="s">
        <v>35</v>
      </c>
      <c r="D109" s="58" t="s">
        <v>46</v>
      </c>
      <c r="E109" s="58" t="s">
        <v>38</v>
      </c>
      <c r="F109" s="21"/>
    </row>
    <row r="110" spans="1:6" ht="33.75" customHeight="1">
      <c r="A110" s="40">
        <v>107</v>
      </c>
      <c r="B110" s="45">
        <v>51</v>
      </c>
      <c r="C110" s="43" t="s">
        <v>33</v>
      </c>
      <c r="D110" s="58" t="s">
        <v>57</v>
      </c>
      <c r="E110" s="58" t="s">
        <v>38</v>
      </c>
      <c r="F110" s="21"/>
    </row>
    <row r="111" spans="1:6" ht="33.75" customHeight="1">
      <c r="A111" s="40">
        <v>108</v>
      </c>
      <c r="B111" s="45">
        <v>236</v>
      </c>
      <c r="C111" s="43" t="s">
        <v>35</v>
      </c>
      <c r="D111" s="58" t="s">
        <v>43</v>
      </c>
      <c r="E111" s="58" t="s">
        <v>40</v>
      </c>
      <c r="F111" s="21"/>
    </row>
    <row r="112" spans="1:6" ht="33.75" customHeight="1">
      <c r="A112" s="40">
        <v>109</v>
      </c>
      <c r="B112" s="45">
        <v>233</v>
      </c>
      <c r="C112" s="43" t="s">
        <v>35</v>
      </c>
      <c r="D112" s="58" t="s">
        <v>38</v>
      </c>
      <c r="E112" s="58" t="s">
        <v>40</v>
      </c>
      <c r="F112" s="21"/>
    </row>
    <row r="113" spans="1:6" ht="33.75" customHeight="1">
      <c r="A113" s="40">
        <v>110</v>
      </c>
      <c r="B113" s="45">
        <v>52</v>
      </c>
      <c r="C113" s="43" t="s">
        <v>49</v>
      </c>
      <c r="D113" s="58" t="s">
        <v>33</v>
      </c>
      <c r="E113" s="58" t="s">
        <v>57</v>
      </c>
      <c r="F113" s="21"/>
    </row>
    <row r="114" spans="1:6" ht="33.75" customHeight="1">
      <c r="A114" s="40">
        <v>111</v>
      </c>
      <c r="B114" s="45">
        <v>239</v>
      </c>
      <c r="C114" s="43" t="s">
        <v>57</v>
      </c>
      <c r="D114" s="58" t="s">
        <v>46</v>
      </c>
      <c r="E114" s="58" t="s">
        <v>49</v>
      </c>
      <c r="F114" s="21"/>
    </row>
    <row r="115" spans="1:6" ht="33.75" customHeight="1">
      <c r="A115" s="40">
        <v>112</v>
      </c>
      <c r="B115" s="45">
        <v>134</v>
      </c>
      <c r="C115" s="43" t="s">
        <v>43</v>
      </c>
      <c r="D115" s="58" t="s">
        <v>145</v>
      </c>
      <c r="E115" s="58" t="s">
        <v>35</v>
      </c>
      <c r="F115" s="21"/>
    </row>
    <row r="116" spans="1:6" ht="33.75" customHeight="1">
      <c r="A116" s="40">
        <v>113</v>
      </c>
      <c r="B116" s="45">
        <v>57</v>
      </c>
      <c r="C116" s="43" t="s">
        <v>43</v>
      </c>
      <c r="D116" s="58" t="s">
        <v>40</v>
      </c>
      <c r="E116" s="58" t="s">
        <v>35</v>
      </c>
      <c r="F116" s="21"/>
    </row>
    <row r="117" spans="1:6" ht="33.75" customHeight="1">
      <c r="A117" s="40">
        <v>114</v>
      </c>
      <c r="B117" s="45">
        <v>76</v>
      </c>
      <c r="C117" s="43" t="s">
        <v>73</v>
      </c>
      <c r="D117" s="58" t="s">
        <v>38</v>
      </c>
      <c r="E117" s="58" t="s">
        <v>40</v>
      </c>
      <c r="F117" s="21"/>
    </row>
    <row r="118" spans="1:6" ht="33.75" customHeight="1">
      <c r="A118" s="40">
        <v>115</v>
      </c>
      <c r="B118" s="45">
        <v>132</v>
      </c>
      <c r="C118" s="43" t="s">
        <v>33</v>
      </c>
      <c r="D118" s="58" t="s">
        <v>52</v>
      </c>
      <c r="E118" s="58" t="s">
        <v>49</v>
      </c>
      <c r="F118" s="21"/>
    </row>
    <row r="119" spans="1:6" ht="33.75" customHeight="1">
      <c r="A119" s="40">
        <v>116</v>
      </c>
      <c r="B119" s="45">
        <v>3</v>
      </c>
      <c r="C119" s="43" t="s">
        <v>33</v>
      </c>
      <c r="D119" s="58" t="s">
        <v>57</v>
      </c>
      <c r="E119" s="58" t="s">
        <v>35</v>
      </c>
      <c r="F119" s="21"/>
    </row>
    <row r="120" spans="1:6" ht="33.75" customHeight="1">
      <c r="A120" s="40">
        <v>117</v>
      </c>
      <c r="B120" s="45">
        <v>45</v>
      </c>
      <c r="C120" s="43" t="s">
        <v>57</v>
      </c>
      <c r="D120" s="58" t="s">
        <v>38</v>
      </c>
      <c r="E120" s="58" t="s">
        <v>33</v>
      </c>
      <c r="F120" s="21"/>
    </row>
    <row r="121" spans="1:6" ht="33.75" customHeight="1">
      <c r="A121" s="40">
        <v>118</v>
      </c>
      <c r="B121" s="45">
        <v>1</v>
      </c>
      <c r="C121" s="43" t="s">
        <v>35</v>
      </c>
      <c r="D121" s="58" t="s">
        <v>46</v>
      </c>
      <c r="E121" s="58" t="s">
        <v>38</v>
      </c>
      <c r="F121" s="21"/>
    </row>
    <row r="122" spans="1:6" ht="33.75" customHeight="1">
      <c r="A122" s="40">
        <v>119</v>
      </c>
      <c r="B122" s="45">
        <v>9</v>
      </c>
      <c r="C122" s="43" t="s">
        <v>35</v>
      </c>
      <c r="D122" s="58" t="s">
        <v>57</v>
      </c>
      <c r="E122" s="58" t="s">
        <v>33</v>
      </c>
      <c r="F122" s="21"/>
    </row>
    <row r="123" spans="1:6" ht="33.75" customHeight="1">
      <c r="A123" s="40">
        <v>120</v>
      </c>
      <c r="B123" s="45">
        <v>14</v>
      </c>
      <c r="C123" s="43" t="s">
        <v>57</v>
      </c>
      <c r="D123" s="58" t="s">
        <v>33</v>
      </c>
      <c r="E123" s="58" t="s">
        <v>39</v>
      </c>
      <c r="F123" s="21"/>
    </row>
    <row r="124" spans="1:6" ht="33.75" customHeight="1">
      <c r="A124" s="40">
        <v>121</v>
      </c>
      <c r="B124" s="45">
        <v>209</v>
      </c>
      <c r="C124" s="43" t="s">
        <v>52</v>
      </c>
      <c r="D124" s="58" t="s">
        <v>49</v>
      </c>
      <c r="E124" s="58" t="s">
        <v>40</v>
      </c>
      <c r="F124" s="21"/>
    </row>
    <row r="125" spans="1:6" ht="33.75" customHeight="1">
      <c r="A125" s="40">
        <v>122</v>
      </c>
      <c r="B125" s="45">
        <v>129</v>
      </c>
      <c r="C125" s="57" t="s">
        <v>51</v>
      </c>
      <c r="D125" s="58" t="s">
        <v>32</v>
      </c>
      <c r="E125" s="58" t="s">
        <v>147</v>
      </c>
      <c r="F125" s="21"/>
    </row>
    <row r="126" spans="1:6" ht="33.75" customHeight="1">
      <c r="A126" s="40">
        <v>123</v>
      </c>
      <c r="B126" s="45">
        <v>126</v>
      </c>
      <c r="C126" s="57" t="s">
        <v>40</v>
      </c>
      <c r="D126" s="58" t="s">
        <v>35</v>
      </c>
      <c r="E126" s="58" t="s">
        <v>49</v>
      </c>
      <c r="F126" s="21"/>
    </row>
    <row r="127" spans="1:6" ht="33.75" customHeight="1">
      <c r="A127" s="40">
        <v>124</v>
      </c>
      <c r="B127" s="45">
        <v>44</v>
      </c>
      <c r="C127" s="57" t="s">
        <v>38</v>
      </c>
      <c r="D127" s="58" t="s">
        <v>59</v>
      </c>
      <c r="E127" s="58" t="s">
        <v>39</v>
      </c>
      <c r="F127" s="21"/>
    </row>
    <row r="128" spans="1:6" ht="33.75" customHeight="1">
      <c r="A128" s="40">
        <v>125</v>
      </c>
      <c r="B128" s="45">
        <v>43</v>
      </c>
      <c r="C128" s="57" t="s">
        <v>57</v>
      </c>
      <c r="D128" s="58" t="s">
        <v>73</v>
      </c>
      <c r="E128" s="58" t="s">
        <v>33</v>
      </c>
      <c r="F128" s="21"/>
    </row>
    <row r="129" spans="1:6" ht="33.75" customHeight="1">
      <c r="A129" s="40">
        <v>126</v>
      </c>
      <c r="B129" s="45">
        <v>13</v>
      </c>
      <c r="C129" s="57" t="s">
        <v>33</v>
      </c>
      <c r="D129" s="58" t="s">
        <v>57</v>
      </c>
      <c r="E129" s="58" t="s">
        <v>38</v>
      </c>
      <c r="F129" s="21"/>
    </row>
    <row r="130" spans="1:6" ht="33.75" customHeight="1">
      <c r="A130" s="40">
        <v>127</v>
      </c>
      <c r="B130" s="45">
        <v>315</v>
      </c>
      <c r="C130" s="57" t="s">
        <v>57</v>
      </c>
      <c r="D130" s="58" t="s">
        <v>49</v>
      </c>
      <c r="E130" s="58" t="s">
        <v>46</v>
      </c>
      <c r="F130" s="21"/>
    </row>
    <row r="131" spans="1:6" ht="33.75" customHeight="1">
      <c r="A131" s="40">
        <v>128</v>
      </c>
      <c r="B131" s="45">
        <v>17</v>
      </c>
      <c r="C131" s="23" t="s">
        <v>33</v>
      </c>
      <c r="D131" s="20" t="s">
        <v>57</v>
      </c>
      <c r="E131" s="20" t="s">
        <v>35</v>
      </c>
      <c r="F131" s="21"/>
    </row>
    <row r="132" spans="1:6" ht="33.75" customHeight="1">
      <c r="A132" s="40">
        <v>129</v>
      </c>
      <c r="B132" s="45">
        <v>40</v>
      </c>
      <c r="C132" s="43" t="s">
        <v>57</v>
      </c>
      <c r="D132" s="20" t="s">
        <v>33</v>
      </c>
      <c r="E132" s="20" t="s">
        <v>35</v>
      </c>
      <c r="F132" s="21"/>
    </row>
    <row r="133" spans="1:6" ht="33.75" customHeight="1">
      <c r="A133" s="40">
        <v>130</v>
      </c>
      <c r="B133" s="45">
        <v>10</v>
      </c>
      <c r="C133" s="57" t="s">
        <v>35</v>
      </c>
      <c r="D133" s="58" t="s">
        <v>57</v>
      </c>
      <c r="E133" s="58" t="s">
        <v>33</v>
      </c>
      <c r="F133" s="21"/>
    </row>
    <row r="134" spans="1:6" ht="33.75" customHeight="1">
      <c r="A134" s="40">
        <v>131</v>
      </c>
      <c r="B134" s="45">
        <v>22</v>
      </c>
      <c r="C134" s="57" t="s">
        <v>33</v>
      </c>
      <c r="D134" s="58" t="s">
        <v>27</v>
      </c>
      <c r="E134" s="58" t="s">
        <v>57</v>
      </c>
      <c r="F134" s="21"/>
    </row>
    <row r="135" spans="1:6" ht="33.75" customHeight="1">
      <c r="A135" s="40">
        <v>132</v>
      </c>
      <c r="B135" s="45">
        <v>330</v>
      </c>
      <c r="C135" s="57" t="s">
        <v>35</v>
      </c>
      <c r="D135" s="58" t="s">
        <v>43</v>
      </c>
      <c r="E135" s="58" t="s">
        <v>68</v>
      </c>
      <c r="F135" s="21"/>
    </row>
    <row r="136" spans="1:6" ht="33.75" customHeight="1">
      <c r="A136" s="40">
        <v>133</v>
      </c>
      <c r="B136" s="45">
        <v>208</v>
      </c>
      <c r="C136" s="57" t="s">
        <v>35</v>
      </c>
      <c r="D136" s="58" t="s">
        <v>57</v>
      </c>
      <c r="E136" s="58" t="s">
        <v>33</v>
      </c>
      <c r="F136" s="21"/>
    </row>
    <row r="137" spans="1:6" ht="33.75" customHeight="1">
      <c r="A137" s="40">
        <v>134</v>
      </c>
      <c r="B137" s="45">
        <v>327</v>
      </c>
      <c r="C137" s="57" t="s">
        <v>57</v>
      </c>
      <c r="D137" s="58" t="s">
        <v>33</v>
      </c>
      <c r="E137" s="58" t="s">
        <v>38</v>
      </c>
      <c r="F137" s="21"/>
    </row>
    <row r="138" spans="1:6" ht="33.75" customHeight="1">
      <c r="A138" s="40">
        <v>135</v>
      </c>
      <c r="B138" s="45">
        <v>213</v>
      </c>
      <c r="C138" s="57" t="s">
        <v>35</v>
      </c>
      <c r="D138" s="58" t="s">
        <v>49</v>
      </c>
      <c r="E138" s="58" t="s">
        <v>43</v>
      </c>
      <c r="F138" s="21"/>
    </row>
    <row r="139" spans="1:6" ht="33.75" customHeight="1">
      <c r="A139" s="40">
        <v>136</v>
      </c>
      <c r="B139" s="45">
        <v>161</v>
      </c>
      <c r="C139" s="57" t="s">
        <v>136</v>
      </c>
      <c r="D139" s="58" t="s">
        <v>148</v>
      </c>
      <c r="E139" s="58" t="s">
        <v>42</v>
      </c>
      <c r="F139" s="21"/>
    </row>
    <row r="140" spans="1:6" ht="33.75" customHeight="1">
      <c r="A140" s="40">
        <v>137</v>
      </c>
      <c r="B140" s="45">
        <v>443</v>
      </c>
      <c r="C140" s="57" t="s">
        <v>57</v>
      </c>
      <c r="D140" s="58" t="s">
        <v>46</v>
      </c>
      <c r="E140" s="58" t="s">
        <v>38</v>
      </c>
      <c r="F140" s="21"/>
    </row>
    <row r="141" spans="1:6" ht="33.75" customHeight="1">
      <c r="A141" s="40">
        <v>138</v>
      </c>
      <c r="B141" s="45">
        <v>316</v>
      </c>
      <c r="C141" s="57" t="s">
        <v>33</v>
      </c>
      <c r="D141" s="58" t="s">
        <v>41</v>
      </c>
      <c r="E141" s="58" t="s">
        <v>49</v>
      </c>
      <c r="F141" s="21"/>
    </row>
    <row r="142" spans="1:6" ht="33.75" customHeight="1">
      <c r="A142" s="40">
        <v>139</v>
      </c>
      <c r="B142" s="45">
        <v>198</v>
      </c>
      <c r="C142" s="57" t="s">
        <v>35</v>
      </c>
      <c r="D142" s="58" t="s">
        <v>43</v>
      </c>
      <c r="E142" s="58" t="s">
        <v>33</v>
      </c>
      <c r="F142" s="21"/>
    </row>
    <row r="143" spans="1:6" ht="33.75" customHeight="1">
      <c r="A143" s="40">
        <v>140</v>
      </c>
      <c r="B143" s="45">
        <v>438</v>
      </c>
      <c r="C143" s="57" t="s">
        <v>57</v>
      </c>
      <c r="D143" s="58" t="s">
        <v>33</v>
      </c>
      <c r="E143" s="58" t="s">
        <v>65</v>
      </c>
      <c r="F143" s="21"/>
    </row>
    <row r="144" spans="1:6" ht="33.75" customHeight="1">
      <c r="A144" s="40">
        <v>141</v>
      </c>
      <c r="B144" s="45">
        <v>435</v>
      </c>
      <c r="C144" s="57" t="s">
        <v>57</v>
      </c>
      <c r="D144" s="58" t="s">
        <v>33</v>
      </c>
      <c r="E144" s="58" t="s">
        <v>35</v>
      </c>
      <c r="F144" s="21"/>
    </row>
    <row r="145" spans="1:6" ht="33.75" customHeight="1">
      <c r="A145" s="40">
        <v>142</v>
      </c>
      <c r="B145" s="45">
        <v>210</v>
      </c>
      <c r="C145" s="57" t="s">
        <v>57</v>
      </c>
      <c r="D145" s="58" t="s">
        <v>43</v>
      </c>
      <c r="E145" s="58" t="s">
        <v>35</v>
      </c>
      <c r="F145" s="21"/>
    </row>
    <row r="146" spans="1:6" ht="33.75" customHeight="1">
      <c r="A146" s="40">
        <v>143</v>
      </c>
      <c r="B146" s="45">
        <v>342</v>
      </c>
      <c r="C146" s="57" t="s">
        <v>35</v>
      </c>
      <c r="D146" s="58" t="s">
        <v>43</v>
      </c>
      <c r="E146" s="58" t="s">
        <v>49</v>
      </c>
      <c r="F146" s="21"/>
    </row>
    <row r="147" spans="1:6" ht="33.75" customHeight="1">
      <c r="A147" s="40">
        <v>144</v>
      </c>
      <c r="B147" s="45">
        <v>93</v>
      </c>
      <c r="C147" s="57" t="s">
        <v>49</v>
      </c>
      <c r="D147" s="58" t="s">
        <v>38</v>
      </c>
      <c r="E147" s="58"/>
      <c r="F147" s="21"/>
    </row>
    <row r="148" spans="1:6" ht="33.75" customHeight="1">
      <c r="A148" s="40">
        <v>145</v>
      </c>
      <c r="B148" s="45">
        <v>428</v>
      </c>
      <c r="C148" s="57" t="s">
        <v>40</v>
      </c>
      <c r="D148" s="58" t="s">
        <v>38</v>
      </c>
      <c r="E148" s="58" t="s">
        <v>43</v>
      </c>
      <c r="F148" s="21"/>
    </row>
    <row r="149" spans="1:6" ht="33.75" customHeight="1">
      <c r="A149" s="40">
        <v>146</v>
      </c>
      <c r="B149" s="45">
        <v>138</v>
      </c>
      <c r="C149" s="57" t="s">
        <v>29</v>
      </c>
      <c r="D149" s="58" t="s">
        <v>57</v>
      </c>
      <c r="E149" s="58" t="s">
        <v>33</v>
      </c>
      <c r="F149" s="21"/>
    </row>
    <row r="150" spans="1:6" ht="33.75" customHeight="1">
      <c r="A150" s="40">
        <v>147</v>
      </c>
      <c r="B150" s="45">
        <v>320</v>
      </c>
      <c r="C150" s="57" t="s">
        <v>57</v>
      </c>
      <c r="D150" s="58" t="s">
        <v>33</v>
      </c>
      <c r="E150" s="58" t="s">
        <v>49</v>
      </c>
      <c r="F150" s="21"/>
    </row>
    <row r="151" spans="1:6" ht="33.75" customHeight="1">
      <c r="A151" s="40">
        <v>148</v>
      </c>
      <c r="B151" s="45">
        <v>437</v>
      </c>
      <c r="C151" s="57" t="s">
        <v>59</v>
      </c>
      <c r="D151" s="58" t="s">
        <v>42</v>
      </c>
      <c r="E151" s="58" t="s">
        <v>40</v>
      </c>
      <c r="F151" s="21"/>
    </row>
    <row r="152" spans="1:6" ht="33.75" customHeight="1">
      <c r="A152" s="40">
        <v>149</v>
      </c>
      <c r="B152" s="45">
        <v>172</v>
      </c>
      <c r="C152" s="57" t="s">
        <v>43</v>
      </c>
      <c r="D152" s="58" t="s">
        <v>35</v>
      </c>
      <c r="E152" s="58" t="s">
        <v>49</v>
      </c>
      <c r="F152" s="21"/>
    </row>
    <row r="153" spans="1:6" ht="33.75" customHeight="1">
      <c r="A153" s="40">
        <v>150</v>
      </c>
      <c r="B153" s="45">
        <v>421</v>
      </c>
      <c r="C153" s="57" t="s">
        <v>40</v>
      </c>
      <c r="D153" s="58" t="s">
        <v>43</v>
      </c>
      <c r="E153" s="58" t="s">
        <v>49</v>
      </c>
      <c r="F153" s="21"/>
    </row>
    <row r="154" spans="1:6" ht="33.75" customHeight="1">
      <c r="A154" s="40">
        <v>151</v>
      </c>
      <c r="B154" s="45"/>
      <c r="C154" s="57"/>
      <c r="D154" s="58"/>
      <c r="E154" s="58"/>
      <c r="F154" s="21"/>
    </row>
    <row r="155" spans="1:6" ht="33.75" customHeight="1">
      <c r="A155" s="40">
        <v>152</v>
      </c>
      <c r="B155" s="45"/>
      <c r="C155" s="23"/>
      <c r="D155" s="20"/>
      <c r="E155" s="20"/>
      <c r="F155" s="21"/>
    </row>
    <row r="156" spans="1:6" ht="33.75" customHeight="1">
      <c r="A156" s="40">
        <v>153</v>
      </c>
      <c r="B156" s="45"/>
      <c r="C156" s="43"/>
      <c r="D156" s="20"/>
      <c r="E156" s="20"/>
      <c r="F156" s="21"/>
    </row>
    <row r="157" spans="1:6" ht="33.75" customHeight="1">
      <c r="A157" s="40">
        <v>154</v>
      </c>
      <c r="B157" s="45"/>
      <c r="C157" s="57"/>
      <c r="D157" s="58"/>
      <c r="E157" s="58"/>
      <c r="F157" s="21"/>
    </row>
    <row r="158" spans="1:6" ht="33.75" customHeight="1">
      <c r="A158" s="40">
        <v>155</v>
      </c>
      <c r="B158" s="45"/>
      <c r="C158" s="57"/>
      <c r="D158" s="58"/>
      <c r="E158" s="58"/>
      <c r="F158" s="21"/>
    </row>
    <row r="159" spans="1:6" ht="33.75" customHeight="1">
      <c r="A159" s="40">
        <v>156</v>
      </c>
      <c r="B159" s="45"/>
      <c r="C159" s="57"/>
      <c r="D159" s="58"/>
      <c r="E159" s="58"/>
      <c r="F159" s="21"/>
    </row>
    <row r="160" spans="1:6" ht="33.75" customHeight="1">
      <c r="A160" s="40">
        <v>157</v>
      </c>
      <c r="B160" s="45"/>
      <c r="C160" s="57"/>
      <c r="D160" s="58"/>
      <c r="E160" s="58"/>
      <c r="F160" s="21"/>
    </row>
    <row r="161" spans="1:6" ht="33.75" customHeight="1">
      <c r="A161" s="40">
        <v>158</v>
      </c>
      <c r="B161" s="45"/>
      <c r="C161" s="57"/>
      <c r="D161" s="58"/>
      <c r="E161" s="58"/>
      <c r="F161" s="21"/>
    </row>
    <row r="162" spans="1:6" ht="33.75" customHeight="1">
      <c r="A162" s="40">
        <v>159</v>
      </c>
      <c r="B162" s="45"/>
      <c r="C162" s="57"/>
      <c r="D162" s="58"/>
      <c r="E162" s="58"/>
      <c r="F162" s="21"/>
    </row>
    <row r="163" spans="1:6" ht="33.75" customHeight="1">
      <c r="A163" s="40">
        <v>160</v>
      </c>
      <c r="B163" s="45"/>
      <c r="C163" s="57"/>
      <c r="D163" s="58"/>
      <c r="E163" s="58"/>
      <c r="F163" s="21"/>
    </row>
    <row r="164" spans="1:6" ht="33.75" customHeight="1">
      <c r="A164" s="40">
        <v>161</v>
      </c>
      <c r="B164" s="45"/>
      <c r="C164" s="57"/>
      <c r="D164" s="58"/>
      <c r="E164" s="58"/>
      <c r="F164" s="21"/>
    </row>
    <row r="165" spans="1:6" ht="33.75" customHeight="1">
      <c r="A165" s="40">
        <v>162</v>
      </c>
      <c r="B165" s="45"/>
      <c r="C165" s="57"/>
      <c r="D165" s="58"/>
      <c r="E165" s="58"/>
      <c r="F165" s="21"/>
    </row>
    <row r="166" spans="1:6" ht="33.75" customHeight="1">
      <c r="A166" s="40">
        <v>163</v>
      </c>
      <c r="B166" s="45"/>
      <c r="C166" s="57"/>
      <c r="D166" s="58"/>
      <c r="E166" s="58"/>
      <c r="F166" s="21"/>
    </row>
    <row r="167" spans="1:6" ht="33.75" customHeight="1">
      <c r="A167" s="40">
        <v>164</v>
      </c>
      <c r="B167" s="45"/>
      <c r="C167" s="57"/>
      <c r="D167" s="58"/>
      <c r="E167" s="58"/>
      <c r="F167" s="21"/>
    </row>
    <row r="168" spans="1:6" ht="33.75" customHeight="1">
      <c r="A168" s="40">
        <v>165</v>
      </c>
      <c r="B168" s="45"/>
      <c r="C168" s="57"/>
      <c r="D168" s="58"/>
      <c r="E168" s="58"/>
      <c r="F168" s="21"/>
    </row>
    <row r="169" spans="1:6" ht="33.75" customHeight="1">
      <c r="A169" s="40">
        <v>166</v>
      </c>
      <c r="B169" s="45"/>
      <c r="C169" s="57"/>
      <c r="D169" s="58"/>
      <c r="E169" s="58"/>
      <c r="F169" s="21"/>
    </row>
    <row r="170" spans="1:6" ht="33.75" customHeight="1">
      <c r="A170" s="40">
        <v>167</v>
      </c>
      <c r="B170" s="45"/>
      <c r="C170" s="57"/>
      <c r="D170" s="58"/>
      <c r="E170" s="58"/>
      <c r="F170" s="21"/>
    </row>
    <row r="171" spans="1:6" ht="33.75" customHeight="1">
      <c r="A171" s="40">
        <v>168</v>
      </c>
      <c r="B171" s="45"/>
      <c r="C171" s="57"/>
      <c r="D171" s="58"/>
      <c r="E171" s="58"/>
      <c r="F171" s="21"/>
    </row>
    <row r="172" spans="1:6" ht="33.75" customHeight="1">
      <c r="A172" s="40">
        <v>169</v>
      </c>
      <c r="B172" s="45"/>
      <c r="C172" s="57"/>
      <c r="D172" s="58"/>
      <c r="E172" s="58"/>
      <c r="F172" s="21"/>
    </row>
    <row r="173" spans="1:6" ht="33.75" customHeight="1">
      <c r="A173" s="40">
        <v>170</v>
      </c>
      <c r="B173" s="45"/>
      <c r="C173" s="57"/>
      <c r="D173" s="58"/>
      <c r="E173" s="58"/>
      <c r="F173" s="21"/>
    </row>
    <row r="174" spans="1:6" ht="33.75" customHeight="1">
      <c r="A174" s="40">
        <v>171</v>
      </c>
      <c r="B174" s="45"/>
      <c r="C174" s="57"/>
      <c r="D174" s="58"/>
      <c r="E174" s="58"/>
      <c r="F174" s="21"/>
    </row>
    <row r="175" spans="1:6" ht="33.75" customHeight="1">
      <c r="A175" s="40">
        <v>172</v>
      </c>
      <c r="B175" s="45"/>
      <c r="C175" s="57"/>
      <c r="D175" s="58"/>
      <c r="E175" s="58"/>
      <c r="F175" s="21"/>
    </row>
    <row r="176" spans="1:6" ht="33.75" customHeight="1">
      <c r="A176" s="40">
        <v>173</v>
      </c>
      <c r="B176" s="45"/>
      <c r="C176" s="57"/>
      <c r="D176" s="58"/>
      <c r="E176" s="58"/>
      <c r="F176" s="21"/>
    </row>
    <row r="177" spans="1:6" ht="33.75" customHeight="1">
      <c r="A177" s="40">
        <v>174</v>
      </c>
      <c r="B177" s="45"/>
      <c r="C177" s="57"/>
      <c r="D177" s="58"/>
      <c r="E177" s="58"/>
      <c r="F177" s="21"/>
    </row>
    <row r="178" spans="1:6" ht="33.75" customHeight="1">
      <c r="A178" s="40">
        <v>175</v>
      </c>
      <c r="B178" s="45"/>
      <c r="C178" s="57"/>
      <c r="D178" s="58"/>
      <c r="E178" s="58"/>
      <c r="F178" s="21"/>
    </row>
    <row r="179" spans="1:6" ht="33.75" customHeight="1">
      <c r="A179" s="40">
        <v>176</v>
      </c>
      <c r="B179" s="45"/>
      <c r="C179" s="23"/>
      <c r="D179" s="20"/>
      <c r="E179" s="20"/>
      <c r="F179" s="21"/>
    </row>
    <row r="180" spans="1:6" ht="33.75" customHeight="1">
      <c r="A180" s="40">
        <v>177</v>
      </c>
      <c r="B180" s="45"/>
      <c r="C180" s="43"/>
      <c r="D180" s="20"/>
      <c r="E180" s="20"/>
      <c r="F180" s="21"/>
    </row>
    <row r="181" spans="1:6" ht="33.75" customHeight="1">
      <c r="A181" s="40">
        <v>178</v>
      </c>
      <c r="B181" s="45"/>
      <c r="C181" s="57"/>
      <c r="D181" s="58"/>
      <c r="E181" s="58"/>
      <c r="F181" s="21"/>
    </row>
    <row r="182" spans="1:6" ht="33.75" customHeight="1">
      <c r="A182" s="40">
        <v>179</v>
      </c>
      <c r="B182" s="45"/>
      <c r="C182" s="57"/>
      <c r="D182" s="58"/>
      <c r="E182" s="58"/>
      <c r="F182" s="21"/>
    </row>
    <row r="183" spans="1:6" ht="33.75" customHeight="1">
      <c r="A183" s="40">
        <v>180</v>
      </c>
      <c r="B183" s="45"/>
      <c r="C183" s="57"/>
      <c r="D183" s="58"/>
      <c r="E183" s="58"/>
      <c r="F183" s="21"/>
    </row>
    <row r="184" spans="1:6" ht="33.75" customHeight="1">
      <c r="A184" s="40">
        <v>181</v>
      </c>
      <c r="B184" s="45"/>
      <c r="C184" s="57"/>
      <c r="D184" s="58"/>
      <c r="E184" s="58"/>
      <c r="F184" s="21"/>
    </row>
    <row r="185" spans="1:6" ht="33.75" customHeight="1">
      <c r="A185" s="40">
        <v>182</v>
      </c>
      <c r="B185" s="45"/>
      <c r="C185" s="57"/>
      <c r="D185" s="58"/>
      <c r="E185" s="58"/>
      <c r="F185" s="21"/>
    </row>
    <row r="186" spans="1:6" ht="33.75" customHeight="1">
      <c r="A186" s="40">
        <v>183</v>
      </c>
      <c r="B186" s="45"/>
      <c r="C186" s="57"/>
      <c r="D186" s="58"/>
      <c r="E186" s="58"/>
      <c r="F186" s="21"/>
    </row>
    <row r="187" spans="1:6" ht="33.75" customHeight="1">
      <c r="A187" s="40">
        <v>184</v>
      </c>
      <c r="B187" s="45"/>
      <c r="C187" s="57"/>
      <c r="D187" s="58"/>
      <c r="E187" s="58"/>
      <c r="F187" s="21"/>
    </row>
    <row r="188" spans="1:6" ht="33.75" customHeight="1">
      <c r="A188" s="40">
        <v>185</v>
      </c>
      <c r="B188" s="45"/>
      <c r="C188" s="57"/>
      <c r="D188" s="58"/>
      <c r="E188" s="58"/>
      <c r="F188" s="21"/>
    </row>
    <row r="189" spans="1:6" ht="33.75" customHeight="1">
      <c r="A189" s="40">
        <v>186</v>
      </c>
      <c r="B189" s="45"/>
      <c r="C189" s="57"/>
      <c r="D189" s="58"/>
      <c r="E189" s="58"/>
      <c r="F189" s="21"/>
    </row>
    <row r="190" spans="1:6" ht="33.75" customHeight="1">
      <c r="A190" s="40">
        <v>187</v>
      </c>
      <c r="B190" s="45"/>
      <c r="C190" s="57"/>
      <c r="D190" s="58"/>
      <c r="E190" s="58"/>
      <c r="F190" s="21"/>
    </row>
    <row r="191" spans="1:6" ht="33.75" customHeight="1">
      <c r="A191" s="40">
        <v>188</v>
      </c>
      <c r="B191" s="45"/>
      <c r="C191" s="57"/>
      <c r="D191" s="58"/>
      <c r="E191" s="58"/>
      <c r="F191" s="21"/>
    </row>
    <row r="192" spans="1:6" ht="33.75" customHeight="1">
      <c r="A192" s="40">
        <v>189</v>
      </c>
      <c r="B192" s="45"/>
      <c r="C192" s="57"/>
      <c r="D192" s="58"/>
      <c r="E192" s="58"/>
      <c r="F192" s="21"/>
    </row>
    <row r="193" spans="1:6" ht="33.75" customHeight="1">
      <c r="A193" s="40">
        <v>190</v>
      </c>
      <c r="B193" s="45"/>
      <c r="C193" s="57"/>
      <c r="D193" s="58"/>
      <c r="E193" s="58"/>
      <c r="F193" s="21"/>
    </row>
    <row r="194" spans="1:6" ht="33.75" customHeight="1">
      <c r="A194" s="40">
        <v>191</v>
      </c>
      <c r="B194" s="45"/>
      <c r="C194" s="57"/>
      <c r="D194" s="58"/>
      <c r="E194" s="58"/>
      <c r="F194" s="21"/>
    </row>
    <row r="195" spans="1:6" ht="33.75" customHeight="1">
      <c r="A195" s="40">
        <v>192</v>
      </c>
      <c r="B195" s="45"/>
      <c r="C195" s="57"/>
      <c r="D195" s="58"/>
      <c r="E195" s="58"/>
      <c r="F195" s="21"/>
    </row>
    <row r="196" spans="1:6" ht="33.75" customHeight="1">
      <c r="A196" s="40">
        <v>193</v>
      </c>
      <c r="B196" s="45"/>
      <c r="C196" s="57"/>
      <c r="D196" s="58"/>
      <c r="E196" s="58"/>
      <c r="F196" s="21"/>
    </row>
    <row r="197" spans="1:6" ht="33.75" customHeight="1">
      <c r="A197" s="40">
        <v>194</v>
      </c>
      <c r="B197" s="45"/>
      <c r="C197" s="57"/>
      <c r="D197" s="58"/>
      <c r="E197" s="58"/>
      <c r="F197" s="21"/>
    </row>
    <row r="198" spans="1:6" ht="33.75" customHeight="1">
      <c r="A198" s="40">
        <v>195</v>
      </c>
      <c r="B198" s="45"/>
      <c r="C198" s="57"/>
      <c r="D198" s="58"/>
      <c r="E198" s="58"/>
      <c r="F198" s="21"/>
    </row>
    <row r="199" spans="1:6" ht="33.75" customHeight="1">
      <c r="A199" s="40">
        <v>196</v>
      </c>
      <c r="B199" s="45"/>
      <c r="C199" s="57"/>
      <c r="D199" s="58"/>
      <c r="E199" s="58"/>
      <c r="F199" s="21"/>
    </row>
    <row r="200" spans="1:6" ht="33.75" customHeight="1">
      <c r="A200" s="40">
        <v>197</v>
      </c>
      <c r="B200" s="45"/>
      <c r="C200" s="57"/>
      <c r="D200" s="58"/>
      <c r="E200" s="58"/>
      <c r="F200" s="21"/>
    </row>
    <row r="201" spans="1:6" ht="33.75" customHeight="1">
      <c r="A201" s="40">
        <v>198</v>
      </c>
      <c r="B201" s="45"/>
      <c r="C201" s="57"/>
      <c r="D201" s="58"/>
      <c r="E201" s="58"/>
      <c r="F201" s="21"/>
    </row>
    <row r="202" spans="1:6" ht="33.75" customHeight="1">
      <c r="A202" s="40">
        <v>199</v>
      </c>
      <c r="B202" s="45"/>
      <c r="C202" s="57"/>
      <c r="D202" s="58"/>
      <c r="E202" s="58"/>
      <c r="F202" s="21"/>
    </row>
    <row r="203" spans="1:6" ht="33.75" customHeight="1">
      <c r="A203" s="40">
        <v>200</v>
      </c>
      <c r="B203" s="45"/>
      <c r="C203" s="57"/>
      <c r="D203" s="58"/>
      <c r="E203" s="58"/>
      <c r="F203" s="21"/>
    </row>
    <row r="204" spans="1:6" ht="33.75" customHeight="1">
      <c r="A204" s="40">
        <v>201</v>
      </c>
      <c r="B204" s="45"/>
      <c r="C204" s="57"/>
      <c r="D204" s="58"/>
      <c r="E204" s="58"/>
      <c r="F204" s="21"/>
    </row>
    <row r="205" spans="1:6" ht="33.75" customHeight="1">
      <c r="A205" s="40">
        <v>202</v>
      </c>
      <c r="B205" s="45"/>
      <c r="C205" s="57"/>
      <c r="D205" s="58"/>
      <c r="E205" s="58"/>
      <c r="F205" s="21"/>
    </row>
    <row r="206" spans="1:6" ht="33.75" customHeight="1">
      <c r="A206" s="40">
        <v>203</v>
      </c>
      <c r="B206" s="45"/>
      <c r="C206" s="57"/>
      <c r="D206" s="58"/>
      <c r="E206" s="58"/>
      <c r="F206" s="21"/>
    </row>
    <row r="207" spans="1:6" ht="33.75" customHeight="1">
      <c r="A207" s="40">
        <v>204</v>
      </c>
      <c r="B207" s="45"/>
      <c r="C207" s="57"/>
      <c r="D207" s="58"/>
      <c r="E207" s="58"/>
      <c r="F207" s="21"/>
    </row>
    <row r="208" spans="1:6" ht="33.75" customHeight="1" thickBot="1">
      <c r="A208" s="48"/>
      <c r="B208" s="51"/>
      <c r="C208" s="52"/>
      <c r="D208" s="49"/>
      <c r="E208" s="50"/>
      <c r="F208" s="54"/>
    </row>
    <row r="209" ht="15" thickTop="1"/>
    <row r="1048576" spans="3:3" ht="20">
      <c r="C1048576" s="43" t="s">
        <v>131</v>
      </c>
    </row>
  </sheetData>
  <mergeCells count="3">
    <mergeCell ref="A1:F1"/>
    <mergeCell ref="E2:F2"/>
    <mergeCell ref="H3:J3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9026-A87F-324D-A68D-5982052A2C1C}">
  <sheetPr codeName="Sheet5"/>
  <dimension ref="A1:J1048576"/>
  <sheetViews>
    <sheetView topLeftCell="A28" zoomScale="85" zoomScaleNormal="85" workbookViewId="0">
      <selection activeCell="J57" sqref="J57"/>
    </sheetView>
  </sheetViews>
  <sheetFormatPr baseColWidth="10" defaultColWidth="8.83203125" defaultRowHeight="14"/>
  <cols>
    <col min="2" max="2" width="13.6640625" customWidth="1"/>
    <col min="3" max="5" width="16.5" customWidth="1"/>
    <col min="6" max="6" width="17.5" customWidth="1"/>
    <col min="9" max="9" width="26.33203125" customWidth="1"/>
    <col min="10" max="10" width="14.6640625" customWidth="1"/>
  </cols>
  <sheetData>
    <row r="1" spans="1:10" ht="38.25" customHeight="1">
      <c r="A1" s="91" t="s">
        <v>134</v>
      </c>
      <c r="B1" s="91"/>
      <c r="C1" s="91"/>
      <c r="D1" s="91"/>
      <c r="E1" s="91"/>
      <c r="F1" s="91"/>
      <c r="G1" s="60"/>
      <c r="H1" s="60"/>
      <c r="I1" s="60"/>
      <c r="J1" s="60"/>
    </row>
    <row r="2" spans="1:10" ht="42.75" customHeight="1" thickBot="1">
      <c r="A2" s="60"/>
      <c r="B2" s="60"/>
      <c r="C2" s="60"/>
      <c r="D2" s="60"/>
      <c r="E2" s="92" t="s">
        <v>135</v>
      </c>
      <c r="F2" s="92"/>
      <c r="G2" s="60"/>
      <c r="H2" s="60"/>
      <c r="I2" s="60"/>
      <c r="J2" s="60"/>
    </row>
    <row r="3" spans="1:10" ht="34.5" customHeight="1" thickBot="1">
      <c r="A3" s="33" t="s">
        <v>14</v>
      </c>
      <c r="B3" s="38" t="s">
        <v>79</v>
      </c>
      <c r="C3" s="36">
        <v>1</v>
      </c>
      <c r="D3" s="34">
        <v>2</v>
      </c>
      <c r="E3" s="34">
        <v>3</v>
      </c>
      <c r="F3" s="35" t="s">
        <v>80</v>
      </c>
      <c r="H3" s="93" t="s">
        <v>81</v>
      </c>
      <c r="I3" s="93"/>
      <c r="J3" s="93"/>
    </row>
    <row r="4" spans="1:10" ht="33.75" customHeight="1" thickTop="1">
      <c r="A4" s="40">
        <v>1</v>
      </c>
      <c r="B4" s="44">
        <v>71</v>
      </c>
      <c r="C4" s="42" t="s">
        <v>91</v>
      </c>
      <c r="D4" s="41" t="s">
        <v>98</v>
      </c>
      <c r="E4" s="41" t="s">
        <v>89</v>
      </c>
      <c r="F4" s="32"/>
      <c r="H4" s="59" t="s">
        <v>14</v>
      </c>
      <c r="I4" s="59" t="s">
        <v>82</v>
      </c>
      <c r="J4" s="59" t="s">
        <v>26</v>
      </c>
    </row>
    <row r="5" spans="1:10" ht="33.75" customHeight="1">
      <c r="A5" s="40">
        <v>2</v>
      </c>
      <c r="B5" s="45">
        <v>60</v>
      </c>
      <c r="C5" s="43" t="s">
        <v>89</v>
      </c>
      <c r="D5" s="20" t="s">
        <v>112</v>
      </c>
      <c r="E5" s="20" t="s">
        <v>93</v>
      </c>
      <c r="F5" s="21"/>
      <c r="H5" s="59">
        <v>1</v>
      </c>
      <c r="I5" s="59" t="s">
        <v>83</v>
      </c>
      <c r="J5" s="59">
        <f>COUNTIF(($C$4:$E$207),I5)</f>
        <v>9</v>
      </c>
    </row>
    <row r="6" spans="1:10" ht="33.75" customHeight="1">
      <c r="A6" s="40">
        <v>3</v>
      </c>
      <c r="B6" s="45">
        <v>405</v>
      </c>
      <c r="C6" s="23" t="s">
        <v>112</v>
      </c>
      <c r="D6" s="20" t="s">
        <v>89</v>
      </c>
      <c r="E6" s="20" t="s">
        <v>104</v>
      </c>
      <c r="F6" s="21"/>
      <c r="H6" s="59">
        <v>2</v>
      </c>
      <c r="I6" s="59" t="s">
        <v>84</v>
      </c>
      <c r="J6" s="59">
        <f t="shared" ref="J6:J55" si="0">COUNTIF(($C$4:$E$207),I6)</f>
        <v>1</v>
      </c>
    </row>
    <row r="7" spans="1:10" ht="33.75" customHeight="1">
      <c r="A7" s="40">
        <v>4</v>
      </c>
      <c r="B7" s="45">
        <v>440</v>
      </c>
      <c r="C7" s="23" t="s">
        <v>98</v>
      </c>
      <c r="D7" s="20" t="s">
        <v>95</v>
      </c>
      <c r="E7" s="20" t="s">
        <v>123</v>
      </c>
      <c r="F7" s="21"/>
      <c r="H7" s="59">
        <v>3</v>
      </c>
      <c r="I7" s="59" t="s">
        <v>85</v>
      </c>
      <c r="J7" s="59">
        <f t="shared" si="0"/>
        <v>12</v>
      </c>
    </row>
    <row r="8" spans="1:10" ht="33.75" customHeight="1">
      <c r="A8" s="40">
        <v>5</v>
      </c>
      <c r="B8" s="45">
        <v>407</v>
      </c>
      <c r="C8" s="43" t="s">
        <v>91</v>
      </c>
      <c r="D8" s="20" t="s">
        <v>89</v>
      </c>
      <c r="E8" s="20" t="s">
        <v>104</v>
      </c>
      <c r="F8" s="21"/>
      <c r="H8" s="59">
        <v>4</v>
      </c>
      <c r="I8" s="59" t="s">
        <v>86</v>
      </c>
      <c r="J8" s="59">
        <f t="shared" si="0"/>
        <v>2</v>
      </c>
    </row>
    <row r="9" spans="1:10" ht="33.75" customHeight="1">
      <c r="A9" s="40">
        <v>6</v>
      </c>
      <c r="B9" s="45">
        <v>293</v>
      </c>
      <c r="C9" s="57" t="s">
        <v>128</v>
      </c>
      <c r="D9" s="58" t="s">
        <v>91</v>
      </c>
      <c r="E9" s="58" t="s">
        <v>112</v>
      </c>
      <c r="F9" s="21"/>
      <c r="H9" s="59">
        <v>5</v>
      </c>
      <c r="I9" s="59" t="s">
        <v>87</v>
      </c>
      <c r="J9" s="59">
        <f t="shared" si="0"/>
        <v>2</v>
      </c>
    </row>
    <row r="10" spans="1:10" ht="33.75" customHeight="1">
      <c r="A10" s="40">
        <v>7</v>
      </c>
      <c r="B10" s="45">
        <v>19</v>
      </c>
      <c r="C10" s="57" t="s">
        <v>112</v>
      </c>
      <c r="D10" s="58" t="s">
        <v>93</v>
      </c>
      <c r="E10" s="58" t="s">
        <v>84</v>
      </c>
      <c r="F10" s="21"/>
      <c r="H10" s="59">
        <v>6</v>
      </c>
      <c r="I10" s="59" t="s">
        <v>88</v>
      </c>
      <c r="J10" s="59">
        <f t="shared" si="0"/>
        <v>4</v>
      </c>
    </row>
    <row r="11" spans="1:10" ht="33.75" customHeight="1">
      <c r="A11" s="40">
        <v>8</v>
      </c>
      <c r="B11" s="45">
        <v>140</v>
      </c>
      <c r="C11" s="57" t="s">
        <v>89</v>
      </c>
      <c r="D11" s="58" t="s">
        <v>112</v>
      </c>
      <c r="E11" s="58" t="s">
        <v>91</v>
      </c>
      <c r="F11" s="21"/>
      <c r="H11" s="59">
        <v>7</v>
      </c>
      <c r="I11" s="59" t="s">
        <v>89</v>
      </c>
      <c r="J11" s="59">
        <f t="shared" si="0"/>
        <v>70</v>
      </c>
    </row>
    <row r="12" spans="1:10" ht="33.75" customHeight="1">
      <c r="A12" s="40">
        <v>9</v>
      </c>
      <c r="B12" s="45">
        <v>197</v>
      </c>
      <c r="C12" s="43" t="s">
        <v>106</v>
      </c>
      <c r="D12" s="58" t="s">
        <v>112</v>
      </c>
      <c r="E12" s="58" t="s">
        <v>93</v>
      </c>
      <c r="F12" s="21"/>
      <c r="H12" s="59">
        <v>8</v>
      </c>
      <c r="I12" s="59" t="s">
        <v>90</v>
      </c>
      <c r="J12" s="59">
        <f t="shared" si="0"/>
        <v>3</v>
      </c>
    </row>
    <row r="13" spans="1:10" ht="33.75" customHeight="1">
      <c r="A13" s="40">
        <v>10</v>
      </c>
      <c r="B13" s="45">
        <v>454</v>
      </c>
      <c r="C13" s="43" t="s">
        <v>104</v>
      </c>
      <c r="D13" s="58" t="s">
        <v>89</v>
      </c>
      <c r="E13" s="58" t="s">
        <v>91</v>
      </c>
      <c r="F13" s="21"/>
      <c r="H13" s="59">
        <v>9</v>
      </c>
      <c r="I13" s="59" t="s">
        <v>91</v>
      </c>
      <c r="J13" s="59">
        <f t="shared" si="0"/>
        <v>75</v>
      </c>
    </row>
    <row r="14" spans="1:10" ht="33.75" customHeight="1">
      <c r="A14" s="40">
        <v>11</v>
      </c>
      <c r="B14" s="45">
        <v>318</v>
      </c>
      <c r="C14" s="43" t="s">
        <v>89</v>
      </c>
      <c r="D14" s="58" t="s">
        <v>112</v>
      </c>
      <c r="E14" s="58" t="s">
        <v>98</v>
      </c>
      <c r="F14" s="21"/>
      <c r="H14" s="59">
        <v>10</v>
      </c>
      <c r="I14" s="59" t="s">
        <v>92</v>
      </c>
      <c r="J14" s="59">
        <f t="shared" si="0"/>
        <v>0</v>
      </c>
    </row>
    <row r="15" spans="1:10" ht="33.75" customHeight="1">
      <c r="A15" s="40">
        <v>12</v>
      </c>
      <c r="B15" s="45">
        <v>340</v>
      </c>
      <c r="C15" s="43" t="s">
        <v>91</v>
      </c>
      <c r="D15" s="58" t="s">
        <v>107</v>
      </c>
      <c r="E15" s="58" t="s">
        <v>89</v>
      </c>
      <c r="F15" s="21"/>
      <c r="H15" s="59">
        <v>11</v>
      </c>
      <c r="I15" s="59" t="s">
        <v>142</v>
      </c>
      <c r="J15" s="59">
        <f t="shared" si="0"/>
        <v>1</v>
      </c>
    </row>
    <row r="16" spans="1:10" ht="33.75" customHeight="1">
      <c r="A16" s="40">
        <v>13</v>
      </c>
      <c r="B16" s="45">
        <v>153</v>
      </c>
      <c r="C16" s="43" t="s">
        <v>120</v>
      </c>
      <c r="D16" s="58" t="s">
        <v>96</v>
      </c>
      <c r="E16" s="58" t="s">
        <v>106</v>
      </c>
      <c r="F16" s="21"/>
      <c r="H16" s="59">
        <v>12</v>
      </c>
      <c r="I16" s="59" t="s">
        <v>93</v>
      </c>
      <c r="J16" s="59">
        <f t="shared" si="0"/>
        <v>27</v>
      </c>
    </row>
    <row r="17" spans="1:10" ht="33.75" customHeight="1">
      <c r="A17" s="40">
        <v>14</v>
      </c>
      <c r="B17" s="45">
        <v>434</v>
      </c>
      <c r="C17" s="43" t="s">
        <v>83</v>
      </c>
      <c r="D17" s="58" t="s">
        <v>91</v>
      </c>
      <c r="E17" s="58" t="s">
        <v>94</v>
      </c>
      <c r="F17" s="21"/>
      <c r="H17" s="59">
        <v>13</v>
      </c>
      <c r="I17" s="59" t="s">
        <v>94</v>
      </c>
      <c r="J17" s="59">
        <f t="shared" si="0"/>
        <v>1</v>
      </c>
    </row>
    <row r="18" spans="1:10" ht="33.75" customHeight="1">
      <c r="A18" s="40">
        <v>15</v>
      </c>
      <c r="B18" s="45">
        <v>458</v>
      </c>
      <c r="C18" s="43" t="s">
        <v>112</v>
      </c>
      <c r="D18" s="58" t="s">
        <v>128</v>
      </c>
      <c r="E18" s="58" t="s">
        <v>83</v>
      </c>
      <c r="F18" s="21"/>
      <c r="H18" s="59">
        <v>14</v>
      </c>
      <c r="I18" s="59" t="s">
        <v>95</v>
      </c>
      <c r="J18" s="59">
        <f t="shared" si="0"/>
        <v>28</v>
      </c>
    </row>
    <row r="19" spans="1:10" ht="33.75" customHeight="1">
      <c r="A19" s="40">
        <v>16</v>
      </c>
      <c r="B19" s="45">
        <v>188</v>
      </c>
      <c r="C19" s="43" t="s">
        <v>89</v>
      </c>
      <c r="D19" s="58" t="s">
        <v>85</v>
      </c>
      <c r="E19" s="58" t="s">
        <v>91</v>
      </c>
      <c r="F19" s="21"/>
      <c r="H19" s="59">
        <v>15</v>
      </c>
      <c r="I19" s="59" t="s">
        <v>96</v>
      </c>
      <c r="J19" s="59">
        <f t="shared" si="0"/>
        <v>6</v>
      </c>
    </row>
    <row r="20" spans="1:10" ht="33.75" customHeight="1">
      <c r="A20" s="40">
        <v>17</v>
      </c>
      <c r="B20" s="45">
        <v>404</v>
      </c>
      <c r="C20" s="43" t="s">
        <v>85</v>
      </c>
      <c r="D20" s="58" t="s">
        <v>91</v>
      </c>
      <c r="E20" s="58" t="s">
        <v>105</v>
      </c>
      <c r="F20" s="21"/>
      <c r="H20" s="59">
        <v>16</v>
      </c>
      <c r="I20" s="59" t="s">
        <v>97</v>
      </c>
      <c r="J20" s="59">
        <f t="shared" si="0"/>
        <v>3</v>
      </c>
    </row>
    <row r="21" spans="1:10" ht="33.75" customHeight="1">
      <c r="A21" s="40">
        <v>18</v>
      </c>
      <c r="B21" s="45">
        <v>429</v>
      </c>
      <c r="C21" s="43" t="s">
        <v>88</v>
      </c>
      <c r="D21" s="58" t="s">
        <v>112</v>
      </c>
      <c r="E21" s="58" t="s">
        <v>91</v>
      </c>
      <c r="F21" s="21"/>
      <c r="H21" s="59">
        <v>17</v>
      </c>
      <c r="I21" s="59" t="s">
        <v>98</v>
      </c>
      <c r="J21" s="59">
        <f t="shared" si="0"/>
        <v>32</v>
      </c>
    </row>
    <row r="22" spans="1:10" ht="33.75" customHeight="1">
      <c r="A22" s="40">
        <v>19</v>
      </c>
      <c r="B22" s="45">
        <v>433</v>
      </c>
      <c r="C22" s="43" t="s">
        <v>89</v>
      </c>
      <c r="D22" s="58" t="s">
        <v>91</v>
      </c>
      <c r="E22" s="58" t="s">
        <v>112</v>
      </c>
      <c r="F22" s="21"/>
      <c r="H22" s="59">
        <v>18</v>
      </c>
      <c r="I22" s="59" t="s">
        <v>99</v>
      </c>
      <c r="J22" s="59">
        <f t="shared" si="0"/>
        <v>1</v>
      </c>
    </row>
    <row r="23" spans="1:10" ht="33.75" customHeight="1">
      <c r="A23" s="40">
        <v>20</v>
      </c>
      <c r="B23" s="45">
        <v>310</v>
      </c>
      <c r="C23" s="43" t="s">
        <v>112</v>
      </c>
      <c r="D23" s="58" t="s">
        <v>89</v>
      </c>
      <c r="E23" s="58" t="s">
        <v>114</v>
      </c>
      <c r="F23" s="21"/>
      <c r="H23" s="59">
        <v>19</v>
      </c>
      <c r="I23" s="59" t="s">
        <v>100</v>
      </c>
      <c r="J23" s="59">
        <f t="shared" si="0"/>
        <v>0</v>
      </c>
    </row>
    <row r="24" spans="1:10" ht="33.75" customHeight="1">
      <c r="A24" s="40">
        <v>21</v>
      </c>
      <c r="B24" s="45">
        <v>430</v>
      </c>
      <c r="C24" s="43" t="s">
        <v>83</v>
      </c>
      <c r="D24" s="58" t="s">
        <v>112</v>
      </c>
      <c r="E24" s="58" t="s">
        <v>128</v>
      </c>
      <c r="F24" s="21"/>
      <c r="H24" s="59">
        <v>20</v>
      </c>
      <c r="I24" s="59" t="s">
        <v>101</v>
      </c>
      <c r="J24" s="59">
        <f t="shared" si="0"/>
        <v>12</v>
      </c>
    </row>
    <row r="25" spans="1:10" ht="33.75" customHeight="1">
      <c r="A25" s="40">
        <v>22</v>
      </c>
      <c r="B25" s="45">
        <v>122</v>
      </c>
      <c r="C25" s="43" t="s">
        <v>104</v>
      </c>
      <c r="D25" s="58" t="s">
        <v>106</v>
      </c>
      <c r="E25" s="58" t="s">
        <v>101</v>
      </c>
      <c r="F25" s="21"/>
      <c r="H25" s="59">
        <v>21</v>
      </c>
      <c r="I25" s="59" t="s">
        <v>102</v>
      </c>
      <c r="J25" s="59">
        <f t="shared" si="0"/>
        <v>0</v>
      </c>
    </row>
    <row r="26" spans="1:10" ht="33.75" customHeight="1">
      <c r="A26" s="40">
        <v>23</v>
      </c>
      <c r="B26" s="45">
        <v>307</v>
      </c>
      <c r="C26" s="43" t="s">
        <v>112</v>
      </c>
      <c r="D26" s="58" t="s">
        <v>91</v>
      </c>
      <c r="E26" s="58" t="s">
        <v>89</v>
      </c>
      <c r="F26" s="21"/>
      <c r="H26" s="59">
        <v>22</v>
      </c>
      <c r="I26" s="59" t="s">
        <v>103</v>
      </c>
      <c r="J26" s="59">
        <f t="shared" si="0"/>
        <v>1</v>
      </c>
    </row>
    <row r="27" spans="1:10" ht="33.75" customHeight="1">
      <c r="A27" s="40">
        <v>24</v>
      </c>
      <c r="B27" s="45">
        <v>414</v>
      </c>
      <c r="C27" s="43" t="s">
        <v>106</v>
      </c>
      <c r="D27" s="58" t="s">
        <v>98</v>
      </c>
      <c r="E27" s="58" t="s">
        <v>93</v>
      </c>
      <c r="F27" s="21"/>
      <c r="H27" s="59">
        <v>23</v>
      </c>
      <c r="I27" s="59" t="s">
        <v>104</v>
      </c>
      <c r="J27" s="59">
        <f t="shared" si="0"/>
        <v>28</v>
      </c>
    </row>
    <row r="28" spans="1:10" ht="33.75" customHeight="1">
      <c r="A28" s="40">
        <v>25</v>
      </c>
      <c r="B28" s="45">
        <v>425</v>
      </c>
      <c r="C28" s="43" t="s">
        <v>112</v>
      </c>
      <c r="D28" s="58" t="s">
        <v>91</v>
      </c>
      <c r="E28" s="58" t="s">
        <v>98</v>
      </c>
      <c r="F28" s="21"/>
      <c r="H28" s="59">
        <v>24</v>
      </c>
      <c r="I28" s="59" t="s">
        <v>105</v>
      </c>
      <c r="J28" s="59">
        <f t="shared" si="0"/>
        <v>5</v>
      </c>
    </row>
    <row r="29" spans="1:10" ht="33.75" customHeight="1">
      <c r="A29" s="40">
        <v>26</v>
      </c>
      <c r="B29" s="45">
        <v>301</v>
      </c>
      <c r="C29" s="43" t="s">
        <v>91</v>
      </c>
      <c r="D29" s="58" t="s">
        <v>114</v>
      </c>
      <c r="E29" s="58" t="s">
        <v>107</v>
      </c>
      <c r="F29" s="21"/>
      <c r="H29" s="59">
        <v>25</v>
      </c>
      <c r="I29" s="59" t="s">
        <v>106</v>
      </c>
      <c r="J29" s="59">
        <f t="shared" si="0"/>
        <v>9</v>
      </c>
    </row>
    <row r="30" spans="1:10" ht="33.75" customHeight="1">
      <c r="A30" s="40">
        <v>27</v>
      </c>
      <c r="B30" s="45">
        <v>304</v>
      </c>
      <c r="C30" s="43" t="s">
        <v>112</v>
      </c>
      <c r="D30" s="58" t="s">
        <v>89</v>
      </c>
      <c r="E30" s="58" t="s">
        <v>91</v>
      </c>
      <c r="F30" s="21"/>
      <c r="H30" s="59">
        <v>26</v>
      </c>
      <c r="I30" s="59" t="s">
        <v>107</v>
      </c>
      <c r="J30" s="59">
        <f t="shared" si="0"/>
        <v>18</v>
      </c>
    </row>
    <row r="31" spans="1:10" ht="33.75" customHeight="1">
      <c r="A31" s="40">
        <v>28</v>
      </c>
      <c r="B31" s="45">
        <v>305</v>
      </c>
      <c r="C31" s="43" t="s">
        <v>112</v>
      </c>
      <c r="D31" s="58" t="s">
        <v>89</v>
      </c>
      <c r="E31" s="58" t="s">
        <v>91</v>
      </c>
      <c r="F31" s="21"/>
      <c r="H31" s="59">
        <v>27</v>
      </c>
      <c r="I31" s="59" t="s">
        <v>108</v>
      </c>
      <c r="J31" s="59">
        <f t="shared" si="0"/>
        <v>0</v>
      </c>
    </row>
    <row r="32" spans="1:10" ht="33.75" customHeight="1">
      <c r="A32" s="40">
        <v>29</v>
      </c>
      <c r="B32" s="45">
        <v>420</v>
      </c>
      <c r="C32" s="43" t="s">
        <v>91</v>
      </c>
      <c r="D32" s="58" t="s">
        <v>112</v>
      </c>
      <c r="E32" s="58" t="s">
        <v>89</v>
      </c>
      <c r="F32" s="21"/>
      <c r="H32" s="59">
        <v>28</v>
      </c>
      <c r="I32" s="59" t="s">
        <v>109</v>
      </c>
      <c r="J32" s="59">
        <f t="shared" si="0"/>
        <v>0</v>
      </c>
    </row>
    <row r="33" spans="1:10" ht="33.75" customHeight="1">
      <c r="A33" s="40">
        <v>30</v>
      </c>
      <c r="B33" s="45">
        <v>285</v>
      </c>
      <c r="C33" s="43" t="s">
        <v>89</v>
      </c>
      <c r="D33" s="58" t="s">
        <v>93</v>
      </c>
      <c r="E33" s="58" t="s">
        <v>112</v>
      </c>
      <c r="F33" s="21"/>
      <c r="H33" s="59">
        <v>29</v>
      </c>
      <c r="I33" s="59" t="s">
        <v>110</v>
      </c>
      <c r="J33" s="59">
        <f t="shared" si="0"/>
        <v>3</v>
      </c>
    </row>
    <row r="34" spans="1:10" ht="33.75" customHeight="1">
      <c r="A34" s="40">
        <v>31</v>
      </c>
      <c r="B34" s="45">
        <v>284</v>
      </c>
      <c r="C34" s="43" t="s">
        <v>110</v>
      </c>
      <c r="D34" s="58" t="s">
        <v>114</v>
      </c>
      <c r="E34" s="58" t="s">
        <v>83</v>
      </c>
      <c r="F34" s="21"/>
      <c r="H34" s="59">
        <v>30</v>
      </c>
      <c r="I34" s="59" t="s">
        <v>111</v>
      </c>
      <c r="J34" s="59">
        <f t="shared" si="0"/>
        <v>0</v>
      </c>
    </row>
    <row r="35" spans="1:10" ht="33.75" customHeight="1">
      <c r="A35" s="40">
        <v>32</v>
      </c>
      <c r="B35" s="45">
        <v>182</v>
      </c>
      <c r="C35" s="43" t="s">
        <v>89</v>
      </c>
      <c r="D35" s="58" t="s">
        <v>95</v>
      </c>
      <c r="E35" s="58" t="s">
        <v>98</v>
      </c>
      <c r="F35" s="21"/>
      <c r="H35" s="59">
        <v>31</v>
      </c>
      <c r="I35" s="59" t="s">
        <v>112</v>
      </c>
      <c r="J35" s="59">
        <f t="shared" si="0"/>
        <v>67</v>
      </c>
    </row>
    <row r="36" spans="1:10" ht="33.75" customHeight="1">
      <c r="A36" s="40">
        <v>33</v>
      </c>
      <c r="B36" s="45">
        <v>416</v>
      </c>
      <c r="C36" s="43" t="s">
        <v>83</v>
      </c>
      <c r="D36" s="58" t="s">
        <v>91</v>
      </c>
      <c r="E36" s="58" t="s">
        <v>114</v>
      </c>
      <c r="F36" s="21"/>
      <c r="H36" s="59">
        <v>32</v>
      </c>
      <c r="I36" s="59" t="s">
        <v>113</v>
      </c>
      <c r="J36" s="59">
        <f t="shared" si="0"/>
        <v>1</v>
      </c>
    </row>
    <row r="37" spans="1:10" ht="33.75" customHeight="1">
      <c r="A37" s="40">
        <v>34</v>
      </c>
      <c r="B37" s="45">
        <v>302</v>
      </c>
      <c r="C37" s="43" t="s">
        <v>89</v>
      </c>
      <c r="D37" s="58" t="s">
        <v>90</v>
      </c>
      <c r="E37" s="58" t="s">
        <v>137</v>
      </c>
      <c r="F37" s="21"/>
      <c r="H37" s="59">
        <v>33</v>
      </c>
      <c r="I37" s="59" t="s">
        <v>114</v>
      </c>
      <c r="J37" s="59">
        <f t="shared" si="0"/>
        <v>11</v>
      </c>
    </row>
    <row r="38" spans="1:10" ht="33.75" customHeight="1">
      <c r="A38" s="40">
        <v>35</v>
      </c>
      <c r="B38" s="45">
        <v>181</v>
      </c>
      <c r="C38" s="43" t="s">
        <v>101</v>
      </c>
      <c r="D38" s="58" t="s">
        <v>120</v>
      </c>
      <c r="E38" s="58" t="s">
        <v>89</v>
      </c>
      <c r="F38" s="21"/>
      <c r="H38" s="59">
        <v>34</v>
      </c>
      <c r="I38" s="59" t="s">
        <v>115</v>
      </c>
      <c r="J38" s="59">
        <f t="shared" si="0"/>
        <v>1</v>
      </c>
    </row>
    <row r="39" spans="1:10" ht="33.75" customHeight="1">
      <c r="A39" s="40">
        <v>36</v>
      </c>
      <c r="B39" s="45">
        <v>183</v>
      </c>
      <c r="C39" s="43" t="s">
        <v>89</v>
      </c>
      <c r="D39" s="58" t="s">
        <v>104</v>
      </c>
      <c r="E39" s="58" t="s">
        <v>91</v>
      </c>
      <c r="F39" s="21"/>
      <c r="H39" s="59">
        <v>35</v>
      </c>
      <c r="I39" s="59" t="s">
        <v>116</v>
      </c>
      <c r="J39" s="59">
        <f t="shared" si="0"/>
        <v>0</v>
      </c>
    </row>
    <row r="40" spans="1:10" ht="33.75" customHeight="1">
      <c r="A40" s="40">
        <v>37</v>
      </c>
      <c r="B40" s="45">
        <v>184</v>
      </c>
      <c r="C40" s="43" t="s">
        <v>89</v>
      </c>
      <c r="D40" s="58" t="s">
        <v>104</v>
      </c>
      <c r="E40" s="58" t="s">
        <v>91</v>
      </c>
      <c r="F40" s="21"/>
      <c r="H40" s="59">
        <v>36</v>
      </c>
      <c r="I40" s="59" t="s">
        <v>117</v>
      </c>
      <c r="J40" s="59">
        <f t="shared" si="0"/>
        <v>0</v>
      </c>
    </row>
    <row r="41" spans="1:10" ht="33.75" customHeight="1">
      <c r="A41" s="40">
        <v>38</v>
      </c>
      <c r="B41" s="45">
        <v>412</v>
      </c>
      <c r="C41" s="43" t="s">
        <v>98</v>
      </c>
      <c r="D41" s="58" t="s">
        <v>91</v>
      </c>
      <c r="E41" s="58" t="s">
        <v>114</v>
      </c>
      <c r="F41" s="21"/>
      <c r="H41" s="59">
        <v>37</v>
      </c>
      <c r="I41" s="59" t="s">
        <v>118</v>
      </c>
      <c r="J41" s="59">
        <f t="shared" si="0"/>
        <v>0</v>
      </c>
    </row>
    <row r="42" spans="1:10" ht="33.75" customHeight="1">
      <c r="A42" s="40">
        <v>39</v>
      </c>
      <c r="B42" s="45">
        <v>415</v>
      </c>
      <c r="C42" s="43" t="s">
        <v>101</v>
      </c>
      <c r="D42" s="58" t="s">
        <v>83</v>
      </c>
      <c r="E42" s="58" t="s">
        <v>95</v>
      </c>
      <c r="F42" s="21"/>
      <c r="H42" s="59">
        <v>38</v>
      </c>
      <c r="I42" s="59" t="s">
        <v>119</v>
      </c>
      <c r="J42" s="59">
        <f t="shared" si="0"/>
        <v>0</v>
      </c>
    </row>
    <row r="43" spans="1:10" ht="33.75" customHeight="1">
      <c r="A43" s="40">
        <v>40</v>
      </c>
      <c r="B43" s="45">
        <v>422</v>
      </c>
      <c r="C43" s="43" t="s">
        <v>89</v>
      </c>
      <c r="D43" s="58" t="s">
        <v>112</v>
      </c>
      <c r="E43" s="58" t="s">
        <v>93</v>
      </c>
      <c r="F43" s="21"/>
      <c r="H43" s="59">
        <v>39</v>
      </c>
      <c r="I43" s="59" t="s">
        <v>120</v>
      </c>
      <c r="J43" s="59">
        <f t="shared" si="0"/>
        <v>2</v>
      </c>
    </row>
    <row r="44" spans="1:10" ht="33.75" customHeight="1">
      <c r="A44" s="40">
        <v>41</v>
      </c>
      <c r="B44" s="45">
        <v>168</v>
      </c>
      <c r="C44" s="43" t="s">
        <v>91</v>
      </c>
      <c r="D44" s="58" t="s">
        <v>89</v>
      </c>
      <c r="E44" s="58" t="s">
        <v>112</v>
      </c>
      <c r="F44" s="21"/>
      <c r="H44" s="59">
        <v>40</v>
      </c>
      <c r="I44" s="59" t="s">
        <v>121</v>
      </c>
      <c r="J44" s="59">
        <f t="shared" si="0"/>
        <v>1</v>
      </c>
    </row>
    <row r="45" spans="1:10" ht="33.75" customHeight="1">
      <c r="A45" s="40">
        <v>42</v>
      </c>
      <c r="B45" s="45">
        <v>426</v>
      </c>
      <c r="C45" s="43" t="s">
        <v>89</v>
      </c>
      <c r="D45" s="58" t="s">
        <v>91</v>
      </c>
      <c r="E45" s="58" t="s">
        <v>95</v>
      </c>
      <c r="F45" s="21"/>
      <c r="H45" s="59">
        <v>41</v>
      </c>
      <c r="I45" s="59" t="s">
        <v>122</v>
      </c>
      <c r="J45" s="59">
        <f t="shared" si="0"/>
        <v>0</v>
      </c>
    </row>
    <row r="46" spans="1:10" ht="33.75" customHeight="1">
      <c r="A46" s="40">
        <v>43</v>
      </c>
      <c r="B46" s="45">
        <v>423</v>
      </c>
      <c r="C46" s="43" t="s">
        <v>107</v>
      </c>
      <c r="D46" s="58" t="s">
        <v>89</v>
      </c>
      <c r="E46" s="58" t="s">
        <v>95</v>
      </c>
      <c r="F46" s="21"/>
      <c r="H46" s="59">
        <v>42</v>
      </c>
      <c r="I46" s="59" t="s">
        <v>123</v>
      </c>
      <c r="J46" s="59">
        <f t="shared" si="0"/>
        <v>1</v>
      </c>
    </row>
    <row r="47" spans="1:10" ht="33.75" customHeight="1">
      <c r="A47" s="40">
        <v>44</v>
      </c>
      <c r="B47" s="45">
        <v>308</v>
      </c>
      <c r="C47" s="43" t="s">
        <v>89</v>
      </c>
      <c r="D47" s="58" t="s">
        <v>95</v>
      </c>
      <c r="E47" s="58" t="s">
        <v>107</v>
      </c>
      <c r="F47" s="21"/>
      <c r="H47" s="59">
        <v>43</v>
      </c>
      <c r="I47" s="59" t="s">
        <v>124</v>
      </c>
      <c r="J47" s="59">
        <f t="shared" si="0"/>
        <v>1</v>
      </c>
    </row>
    <row r="48" spans="1:10" ht="33.75" customHeight="1">
      <c r="A48" s="40">
        <v>45</v>
      </c>
      <c r="B48" s="45">
        <v>292</v>
      </c>
      <c r="C48" s="43" t="s">
        <v>128</v>
      </c>
      <c r="D48" s="58" t="s">
        <v>95</v>
      </c>
      <c r="E48" s="58" t="s">
        <v>112</v>
      </c>
      <c r="F48" s="21"/>
      <c r="H48" s="59">
        <v>44</v>
      </c>
      <c r="I48" s="59" t="s">
        <v>125</v>
      </c>
      <c r="J48" s="59">
        <f t="shared" si="0"/>
        <v>0</v>
      </c>
    </row>
    <row r="49" spans="1:10" ht="33.75" customHeight="1">
      <c r="A49" s="40">
        <v>46</v>
      </c>
      <c r="B49" s="45">
        <v>424</v>
      </c>
      <c r="C49" s="43" t="s">
        <v>112</v>
      </c>
      <c r="D49" s="58" t="s">
        <v>89</v>
      </c>
      <c r="E49" s="58" t="s">
        <v>139</v>
      </c>
      <c r="F49" s="21"/>
      <c r="H49" s="59">
        <v>45</v>
      </c>
      <c r="I49" s="59" t="s">
        <v>126</v>
      </c>
      <c r="J49" s="59">
        <f t="shared" si="0"/>
        <v>0</v>
      </c>
    </row>
    <row r="50" spans="1:10" ht="33.75" customHeight="1">
      <c r="A50" s="40">
        <v>47</v>
      </c>
      <c r="B50" s="45">
        <v>296</v>
      </c>
      <c r="C50" s="43" t="s">
        <v>91</v>
      </c>
      <c r="D50" s="58" t="s">
        <v>98</v>
      </c>
      <c r="E50" s="58" t="s">
        <v>104</v>
      </c>
      <c r="F50" s="21"/>
      <c r="H50" s="59">
        <v>46</v>
      </c>
      <c r="I50" s="59" t="s">
        <v>127</v>
      </c>
      <c r="J50" s="59">
        <f t="shared" si="0"/>
        <v>0</v>
      </c>
    </row>
    <row r="51" spans="1:10" ht="33.75" customHeight="1">
      <c r="A51" s="40">
        <v>48</v>
      </c>
      <c r="B51" s="45">
        <v>300</v>
      </c>
      <c r="C51" s="43" t="s">
        <v>89</v>
      </c>
      <c r="D51" s="58" t="s">
        <v>91</v>
      </c>
      <c r="E51" s="58" t="s">
        <v>95</v>
      </c>
      <c r="F51" s="21"/>
      <c r="H51" s="59">
        <v>47</v>
      </c>
      <c r="I51" s="59" t="s">
        <v>128</v>
      </c>
      <c r="J51" s="59">
        <f t="shared" si="0"/>
        <v>7</v>
      </c>
    </row>
    <row r="52" spans="1:10" ht="33.75" customHeight="1">
      <c r="A52" s="40">
        <v>49</v>
      </c>
      <c r="B52" s="45">
        <v>298</v>
      </c>
      <c r="C52" s="43" t="s">
        <v>91</v>
      </c>
      <c r="D52" s="58" t="s">
        <v>104</v>
      </c>
      <c r="E52" s="58" t="s">
        <v>112</v>
      </c>
      <c r="F52" s="21"/>
      <c r="H52" s="59">
        <v>48</v>
      </c>
      <c r="I52" s="59" t="s">
        <v>139</v>
      </c>
      <c r="J52" s="59">
        <f t="shared" si="0"/>
        <v>1</v>
      </c>
    </row>
    <row r="53" spans="1:10" ht="33.75" customHeight="1">
      <c r="A53" s="40">
        <v>50</v>
      </c>
      <c r="B53" s="45">
        <v>294</v>
      </c>
      <c r="C53" s="43" t="s">
        <v>105</v>
      </c>
      <c r="D53" s="58" t="s">
        <v>91</v>
      </c>
      <c r="E53" s="58" t="s">
        <v>112</v>
      </c>
      <c r="F53" s="21"/>
      <c r="H53" s="59">
        <v>49</v>
      </c>
      <c r="I53" s="59" t="s">
        <v>141</v>
      </c>
      <c r="J53" s="59">
        <f t="shared" si="0"/>
        <v>1</v>
      </c>
    </row>
    <row r="54" spans="1:10" ht="33.75" customHeight="1">
      <c r="A54" s="40">
        <v>51</v>
      </c>
      <c r="B54" s="45">
        <v>167</v>
      </c>
      <c r="C54" s="43" t="s">
        <v>112</v>
      </c>
      <c r="D54" s="58" t="s">
        <v>98</v>
      </c>
      <c r="E54" s="58" t="s">
        <v>91</v>
      </c>
      <c r="F54" s="21"/>
      <c r="H54" s="59">
        <v>50</v>
      </c>
      <c r="I54" s="59" t="s">
        <v>137</v>
      </c>
      <c r="J54" s="59">
        <f t="shared" si="0"/>
        <v>1</v>
      </c>
    </row>
    <row r="55" spans="1:10" ht="33.75" customHeight="1">
      <c r="A55" s="40">
        <v>52</v>
      </c>
      <c r="B55" s="45">
        <v>408</v>
      </c>
      <c r="C55" s="43" t="s">
        <v>112</v>
      </c>
      <c r="D55" s="58" t="s">
        <v>98</v>
      </c>
      <c r="E55" s="58" t="s">
        <v>91</v>
      </c>
      <c r="F55" s="21"/>
      <c r="H55" s="59">
        <v>51</v>
      </c>
      <c r="I55" s="59" t="s">
        <v>144</v>
      </c>
      <c r="J55" s="59">
        <f t="shared" si="0"/>
        <v>1</v>
      </c>
    </row>
    <row r="56" spans="1:10" ht="33.75" customHeight="1">
      <c r="A56" s="40">
        <v>53</v>
      </c>
      <c r="B56" s="45">
        <v>12</v>
      </c>
      <c r="C56" s="43" t="s">
        <v>128</v>
      </c>
      <c r="D56" s="58" t="s">
        <v>95</v>
      </c>
      <c r="E56" s="58" t="s">
        <v>93</v>
      </c>
      <c r="F56" s="21"/>
      <c r="H56" s="59">
        <v>52</v>
      </c>
      <c r="I56" s="59"/>
      <c r="J56" s="59">
        <f>COUNTIF(($C$4:$E$207),I56)</f>
        <v>0</v>
      </c>
    </row>
    <row r="57" spans="1:10" ht="33.75" customHeight="1">
      <c r="A57" s="40">
        <v>54</v>
      </c>
      <c r="B57" s="45">
        <v>328</v>
      </c>
      <c r="C57" s="43" t="s">
        <v>89</v>
      </c>
      <c r="D57" s="58" t="s">
        <v>97</v>
      </c>
      <c r="E57" s="58" t="s">
        <v>85</v>
      </c>
      <c r="F57" s="21"/>
      <c r="H57" s="59">
        <v>53</v>
      </c>
      <c r="I57" s="59"/>
      <c r="J57" s="59">
        <f>COUNTIF(($C$4:$E$207),I57)</f>
        <v>0</v>
      </c>
    </row>
    <row r="58" spans="1:10" ht="33.75" customHeight="1">
      <c r="A58" s="40">
        <v>55</v>
      </c>
      <c r="B58" s="45">
        <v>215</v>
      </c>
      <c r="C58" s="43" t="s">
        <v>91</v>
      </c>
      <c r="D58" s="58" t="s">
        <v>101</v>
      </c>
      <c r="E58" s="58" t="s">
        <v>95</v>
      </c>
      <c r="F58" s="21"/>
      <c r="H58" s="59">
        <v>54</v>
      </c>
      <c r="I58" s="59"/>
      <c r="J58" s="59">
        <f>COUNTIF(($C$4:$E$207),I58)</f>
        <v>0</v>
      </c>
    </row>
    <row r="59" spans="1:10" ht="33.75" customHeight="1">
      <c r="A59" s="40">
        <v>56</v>
      </c>
      <c r="B59" s="45">
        <v>204</v>
      </c>
      <c r="C59" s="43" t="s">
        <v>112</v>
      </c>
      <c r="D59" s="58" t="s">
        <v>89</v>
      </c>
      <c r="E59" s="58" t="s">
        <v>107</v>
      </c>
      <c r="F59" s="21"/>
      <c r="H59" s="59">
        <v>55</v>
      </c>
      <c r="I59" s="59"/>
      <c r="J59" s="59">
        <f t="shared" ref="J59:J65" si="1">COUNTIF(($C$4:$E$207),I59)</f>
        <v>0</v>
      </c>
    </row>
    <row r="60" spans="1:10" ht="33.75" customHeight="1">
      <c r="A60" s="40">
        <v>57</v>
      </c>
      <c r="B60" s="45">
        <v>205</v>
      </c>
      <c r="C60" s="43" t="s">
        <v>107</v>
      </c>
      <c r="D60" s="58" t="s">
        <v>105</v>
      </c>
      <c r="E60" s="58" t="s">
        <v>112</v>
      </c>
      <c r="F60" s="21"/>
      <c r="H60" s="59">
        <v>56</v>
      </c>
      <c r="I60" s="59"/>
      <c r="J60" s="59">
        <f t="shared" si="1"/>
        <v>0</v>
      </c>
    </row>
    <row r="61" spans="1:10" ht="33.75" customHeight="1">
      <c r="A61" s="40">
        <v>58</v>
      </c>
      <c r="B61" s="45">
        <v>203</v>
      </c>
      <c r="C61" s="43" t="s">
        <v>98</v>
      </c>
      <c r="D61" s="58" t="s">
        <v>93</v>
      </c>
      <c r="E61" s="58" t="s">
        <v>114</v>
      </c>
      <c r="F61" s="21"/>
      <c r="H61" s="59">
        <v>57</v>
      </c>
      <c r="I61" s="59"/>
      <c r="J61" s="59">
        <f t="shared" si="1"/>
        <v>0</v>
      </c>
    </row>
    <row r="62" spans="1:10" ht="33.75" customHeight="1">
      <c r="A62" s="40">
        <v>59</v>
      </c>
      <c r="B62" s="45">
        <v>6</v>
      </c>
      <c r="C62" s="43" t="s">
        <v>91</v>
      </c>
      <c r="D62" s="58" t="s">
        <v>89</v>
      </c>
      <c r="E62" s="58" t="s">
        <v>114</v>
      </c>
      <c r="F62" s="21"/>
      <c r="H62" s="59">
        <v>58</v>
      </c>
      <c r="I62" s="59"/>
      <c r="J62" s="59">
        <f t="shared" si="1"/>
        <v>0</v>
      </c>
    </row>
    <row r="63" spans="1:10" ht="33.75" customHeight="1">
      <c r="A63" s="40">
        <v>60</v>
      </c>
      <c r="B63" s="45">
        <v>131</v>
      </c>
      <c r="C63" s="43" t="s">
        <v>107</v>
      </c>
      <c r="D63" s="58" t="s">
        <v>91</v>
      </c>
      <c r="E63" s="58" t="s">
        <v>112</v>
      </c>
      <c r="F63" s="21"/>
      <c r="H63" s="59">
        <v>59</v>
      </c>
      <c r="I63" s="59"/>
      <c r="J63" s="59">
        <f t="shared" si="1"/>
        <v>0</v>
      </c>
    </row>
    <row r="64" spans="1:10" ht="33.75" customHeight="1">
      <c r="A64" s="40">
        <v>61</v>
      </c>
      <c r="B64" s="45">
        <v>212</v>
      </c>
      <c r="C64" s="43" t="s">
        <v>91</v>
      </c>
      <c r="D64" s="58" t="s">
        <v>141</v>
      </c>
      <c r="E64" s="58" t="s">
        <v>112</v>
      </c>
      <c r="F64" s="21"/>
      <c r="H64" s="59">
        <v>60</v>
      </c>
      <c r="I64" s="59"/>
      <c r="J64" s="59">
        <f t="shared" si="1"/>
        <v>0</v>
      </c>
    </row>
    <row r="65" spans="1:10" ht="33.75" customHeight="1">
      <c r="A65" s="40">
        <v>62</v>
      </c>
      <c r="B65" s="45">
        <v>252</v>
      </c>
      <c r="C65" s="43" t="s">
        <v>88</v>
      </c>
      <c r="D65" s="58" t="s">
        <v>89</v>
      </c>
      <c r="E65" s="58" t="s">
        <v>91</v>
      </c>
      <c r="F65" s="21"/>
      <c r="H65" s="59">
        <v>61</v>
      </c>
      <c r="I65" s="59"/>
      <c r="J65" s="59">
        <f t="shared" si="1"/>
        <v>0</v>
      </c>
    </row>
    <row r="66" spans="1:10" ht="33.75" customHeight="1">
      <c r="A66" s="40">
        <v>63</v>
      </c>
      <c r="B66" s="45">
        <v>196</v>
      </c>
      <c r="C66" s="43" t="s">
        <v>112</v>
      </c>
      <c r="D66" s="58" t="s">
        <v>104</v>
      </c>
      <c r="E66" s="58" t="s">
        <v>89</v>
      </c>
      <c r="F66" s="21"/>
      <c r="H66" s="59"/>
      <c r="I66" s="59" t="s">
        <v>129</v>
      </c>
      <c r="J66" s="59">
        <f>COUNTIF(($C$4:$E$154),"")</f>
        <v>4</v>
      </c>
    </row>
    <row r="67" spans="1:10" ht="33.75" customHeight="1">
      <c r="A67" s="40">
        <v>64</v>
      </c>
      <c r="B67" s="45">
        <v>77</v>
      </c>
      <c r="C67" s="43" t="s">
        <v>83</v>
      </c>
      <c r="D67" s="58" t="s">
        <v>91</v>
      </c>
      <c r="E67" s="58" t="s">
        <v>98</v>
      </c>
      <c r="F67" s="21"/>
      <c r="H67" s="59"/>
      <c r="I67" s="61" t="s">
        <v>130</v>
      </c>
      <c r="J67" s="59">
        <f>SUM(J5:J66)/3</f>
        <v>151</v>
      </c>
    </row>
    <row r="68" spans="1:10" ht="33.75" customHeight="1">
      <c r="A68" s="40">
        <v>65</v>
      </c>
      <c r="B68" s="45">
        <v>448</v>
      </c>
      <c r="C68" s="43" t="s">
        <v>91</v>
      </c>
      <c r="D68" s="58" t="s">
        <v>98</v>
      </c>
      <c r="E68" s="58"/>
      <c r="F68" s="21"/>
    </row>
    <row r="69" spans="1:10" ht="33.75" customHeight="1">
      <c r="A69" s="40">
        <v>66</v>
      </c>
      <c r="B69" s="45">
        <v>275</v>
      </c>
      <c r="C69" s="43" t="s">
        <v>112</v>
      </c>
      <c r="D69" s="58" t="s">
        <v>91</v>
      </c>
      <c r="E69" s="58" t="s">
        <v>97</v>
      </c>
      <c r="F69" s="21"/>
    </row>
    <row r="70" spans="1:10" ht="33.75" customHeight="1">
      <c r="A70" s="40">
        <v>67</v>
      </c>
      <c r="B70" s="45">
        <v>4</v>
      </c>
      <c r="C70" s="43" t="s">
        <v>89</v>
      </c>
      <c r="D70" s="58" t="s">
        <v>112</v>
      </c>
      <c r="E70" s="58" t="s">
        <v>107</v>
      </c>
      <c r="F70" s="21"/>
    </row>
    <row r="71" spans="1:10" ht="33.75" customHeight="1">
      <c r="A71" s="40">
        <v>68</v>
      </c>
      <c r="B71" s="45">
        <v>346</v>
      </c>
      <c r="C71" s="43" t="s">
        <v>112</v>
      </c>
      <c r="D71" s="58" t="s">
        <v>101</v>
      </c>
      <c r="E71" s="58" t="s">
        <v>93</v>
      </c>
      <c r="F71" s="21"/>
    </row>
    <row r="72" spans="1:10" ht="33.75" customHeight="1">
      <c r="A72" s="40">
        <v>69</v>
      </c>
      <c r="B72" s="45">
        <v>202</v>
      </c>
      <c r="C72" s="43" t="s">
        <v>89</v>
      </c>
      <c r="D72" s="58" t="s">
        <v>105</v>
      </c>
      <c r="E72" s="58" t="s">
        <v>98</v>
      </c>
      <c r="F72" s="21"/>
    </row>
    <row r="73" spans="1:10" ht="33.75" customHeight="1">
      <c r="A73" s="40">
        <v>70</v>
      </c>
      <c r="B73" s="45">
        <v>214</v>
      </c>
      <c r="C73" s="43" t="s">
        <v>112</v>
      </c>
      <c r="D73" s="58" t="s">
        <v>104</v>
      </c>
      <c r="E73" s="58" t="s">
        <v>89</v>
      </c>
      <c r="F73" s="21"/>
    </row>
    <row r="74" spans="1:10" ht="33.75" customHeight="1">
      <c r="A74" s="40">
        <v>71</v>
      </c>
      <c r="B74" s="45">
        <v>179</v>
      </c>
      <c r="C74" s="43" t="s">
        <v>104</v>
      </c>
      <c r="D74" s="58" t="s">
        <v>107</v>
      </c>
      <c r="E74" s="58" t="s">
        <v>112</v>
      </c>
      <c r="F74" s="21"/>
    </row>
    <row r="75" spans="1:10" ht="33.75" customHeight="1">
      <c r="A75" s="40">
        <v>72</v>
      </c>
      <c r="B75" s="45">
        <v>413</v>
      </c>
      <c r="C75" s="43" t="s">
        <v>112</v>
      </c>
      <c r="D75" s="58" t="s">
        <v>104</v>
      </c>
      <c r="E75" s="58" t="s">
        <v>114</v>
      </c>
      <c r="F75" s="21"/>
    </row>
    <row r="76" spans="1:10" ht="33.75" customHeight="1">
      <c r="A76" s="40">
        <v>73</v>
      </c>
      <c r="B76" s="45">
        <v>2</v>
      </c>
      <c r="C76" s="43" t="s">
        <v>112</v>
      </c>
      <c r="D76" s="58" t="s">
        <v>91</v>
      </c>
      <c r="E76" s="58" t="s">
        <v>89</v>
      </c>
      <c r="F76" s="21"/>
    </row>
    <row r="77" spans="1:10" ht="33.75" customHeight="1">
      <c r="A77" s="40">
        <v>74</v>
      </c>
      <c r="B77" s="45">
        <v>436</v>
      </c>
      <c r="C77" s="43" t="s">
        <v>89</v>
      </c>
      <c r="D77" s="58" t="s">
        <v>96</v>
      </c>
      <c r="E77" s="58" t="s">
        <v>93</v>
      </c>
      <c r="F77" s="21"/>
    </row>
    <row r="78" spans="1:10" ht="33.75" customHeight="1">
      <c r="A78" s="40">
        <v>75</v>
      </c>
      <c r="B78" s="45">
        <v>189</v>
      </c>
      <c r="C78" s="43" t="s">
        <v>106</v>
      </c>
      <c r="D78" s="58" t="s">
        <v>112</v>
      </c>
      <c r="E78" s="58" t="s">
        <v>91</v>
      </c>
      <c r="F78" s="21"/>
    </row>
    <row r="79" spans="1:10" ht="33.75" customHeight="1">
      <c r="A79" s="40">
        <v>76</v>
      </c>
      <c r="B79" s="45">
        <v>193</v>
      </c>
      <c r="C79" s="43" t="s">
        <v>91</v>
      </c>
      <c r="D79" s="58" t="s">
        <v>98</v>
      </c>
      <c r="E79" s="58" t="s">
        <v>89</v>
      </c>
      <c r="F79" s="21"/>
    </row>
    <row r="80" spans="1:10" ht="33.75" customHeight="1">
      <c r="A80" s="40">
        <v>77</v>
      </c>
      <c r="B80" s="45">
        <v>133</v>
      </c>
      <c r="C80" s="43" t="s">
        <v>91</v>
      </c>
      <c r="D80" s="58" t="s">
        <v>112</v>
      </c>
      <c r="E80" s="20" t="s">
        <v>89</v>
      </c>
      <c r="F80" s="21"/>
    </row>
    <row r="81" spans="1:6" ht="33.75" customHeight="1">
      <c r="A81" s="40">
        <v>78</v>
      </c>
      <c r="B81" s="45">
        <v>238</v>
      </c>
      <c r="C81" s="43" t="s">
        <v>91</v>
      </c>
      <c r="D81" s="58" t="s">
        <v>95</v>
      </c>
      <c r="E81" s="58" t="s">
        <v>93</v>
      </c>
      <c r="F81" s="21"/>
    </row>
    <row r="82" spans="1:6" ht="33.75" customHeight="1">
      <c r="A82" s="40">
        <v>79</v>
      </c>
      <c r="B82" s="45">
        <v>48</v>
      </c>
      <c r="C82" s="43" t="s">
        <v>107</v>
      </c>
      <c r="D82" s="58" t="s">
        <v>104</v>
      </c>
      <c r="E82" s="58" t="s">
        <v>89</v>
      </c>
      <c r="F82" s="21"/>
    </row>
    <row r="83" spans="1:6" ht="33.75" customHeight="1">
      <c r="A83" s="40">
        <v>80</v>
      </c>
      <c r="B83" s="45">
        <v>245</v>
      </c>
      <c r="C83" s="43" t="s">
        <v>98</v>
      </c>
      <c r="D83" s="58" t="s">
        <v>95</v>
      </c>
      <c r="E83" s="58" t="s">
        <v>93</v>
      </c>
      <c r="F83" s="21"/>
    </row>
    <row r="84" spans="1:6" ht="33.75" customHeight="1">
      <c r="A84" s="40">
        <v>81</v>
      </c>
      <c r="B84" s="45">
        <v>50</v>
      </c>
      <c r="C84" s="43" t="s">
        <v>95</v>
      </c>
      <c r="D84" s="58" t="s">
        <v>98</v>
      </c>
      <c r="E84" s="58" t="s">
        <v>91</v>
      </c>
      <c r="F84" s="21"/>
    </row>
    <row r="85" spans="1:6" ht="33.75" customHeight="1">
      <c r="A85" s="40">
        <v>82</v>
      </c>
      <c r="B85" s="45">
        <v>272</v>
      </c>
      <c r="C85" s="43" t="s">
        <v>91</v>
      </c>
      <c r="D85" s="58" t="s">
        <v>112</v>
      </c>
      <c r="E85" s="58" t="s">
        <v>87</v>
      </c>
      <c r="F85" s="21"/>
    </row>
    <row r="86" spans="1:6" ht="33.75" customHeight="1">
      <c r="A86" s="40">
        <v>83</v>
      </c>
      <c r="B86" s="45">
        <v>139</v>
      </c>
      <c r="C86" s="43" t="s">
        <v>110</v>
      </c>
      <c r="D86" s="58" t="s">
        <v>93</v>
      </c>
      <c r="E86" s="58" t="s">
        <v>101</v>
      </c>
      <c r="F86" s="21"/>
    </row>
    <row r="87" spans="1:6" ht="33.75" customHeight="1">
      <c r="A87" s="40">
        <v>84</v>
      </c>
      <c r="B87" s="45">
        <v>142</v>
      </c>
      <c r="C87" s="43" t="s">
        <v>112</v>
      </c>
      <c r="D87" s="58" t="s">
        <v>85</v>
      </c>
      <c r="E87" s="58" t="s">
        <v>104</v>
      </c>
      <c r="F87" s="21"/>
    </row>
    <row r="88" spans="1:6" ht="33.75" customHeight="1">
      <c r="A88" s="40">
        <v>85</v>
      </c>
      <c r="B88" s="45">
        <v>144</v>
      </c>
      <c r="C88" s="43" t="s">
        <v>89</v>
      </c>
      <c r="D88" s="58" t="s">
        <v>95</v>
      </c>
      <c r="E88" s="58" t="s">
        <v>107</v>
      </c>
      <c r="F88" s="21"/>
    </row>
    <row r="89" spans="1:6" ht="33.75" customHeight="1">
      <c r="A89" s="40">
        <v>86</v>
      </c>
      <c r="B89" s="45">
        <v>191</v>
      </c>
      <c r="C89" s="43" t="s">
        <v>96</v>
      </c>
      <c r="D89" s="58" t="s">
        <v>98</v>
      </c>
      <c r="E89" s="58" t="s">
        <v>89</v>
      </c>
      <c r="F89" s="21"/>
    </row>
    <row r="90" spans="1:6" ht="33.75" customHeight="1">
      <c r="A90" s="40">
        <v>87</v>
      </c>
      <c r="B90" s="45">
        <v>70</v>
      </c>
      <c r="C90" s="43" t="s">
        <v>93</v>
      </c>
      <c r="D90" s="58" t="s">
        <v>96</v>
      </c>
      <c r="E90" s="58" t="s">
        <v>89</v>
      </c>
      <c r="F90" s="21"/>
    </row>
    <row r="91" spans="1:6" ht="33.75" customHeight="1">
      <c r="A91" s="40">
        <v>88</v>
      </c>
      <c r="B91" s="45">
        <v>451</v>
      </c>
      <c r="C91" s="43" t="s">
        <v>110</v>
      </c>
      <c r="D91" s="58" t="s">
        <v>101</v>
      </c>
      <c r="E91" s="58" t="s">
        <v>89</v>
      </c>
      <c r="F91" s="21"/>
    </row>
    <row r="92" spans="1:6" ht="33.75" customHeight="1">
      <c r="A92" s="40">
        <v>89</v>
      </c>
      <c r="B92" s="45">
        <v>54</v>
      </c>
      <c r="C92" s="43" t="s">
        <v>91</v>
      </c>
      <c r="D92" s="58" t="s">
        <v>112</v>
      </c>
      <c r="E92" s="58" t="s">
        <v>95</v>
      </c>
      <c r="F92" s="21"/>
    </row>
    <row r="93" spans="1:6" ht="33.75" customHeight="1">
      <c r="A93" s="40">
        <v>90</v>
      </c>
      <c r="B93" s="45">
        <v>21</v>
      </c>
      <c r="C93" s="43"/>
      <c r="D93" s="58"/>
      <c r="E93" s="58"/>
      <c r="F93" s="21"/>
    </row>
    <row r="94" spans="1:6" ht="33.75" customHeight="1">
      <c r="A94" s="40">
        <v>91</v>
      </c>
      <c r="B94" s="45">
        <v>249</v>
      </c>
      <c r="C94" s="43" t="s">
        <v>114</v>
      </c>
      <c r="D94" s="58" t="s">
        <v>93</v>
      </c>
      <c r="E94" s="58" t="s">
        <v>104</v>
      </c>
      <c r="F94" s="21"/>
    </row>
    <row r="95" spans="1:6" ht="33.75" customHeight="1">
      <c r="A95" s="40">
        <v>92</v>
      </c>
      <c r="B95" s="45">
        <v>344</v>
      </c>
      <c r="C95" s="43" t="s">
        <v>83</v>
      </c>
      <c r="D95" s="58" t="s">
        <v>107</v>
      </c>
      <c r="E95" s="58" t="s">
        <v>95</v>
      </c>
      <c r="F95" s="21"/>
    </row>
    <row r="96" spans="1:6" ht="33.75" customHeight="1">
      <c r="A96" s="40">
        <v>93</v>
      </c>
      <c r="B96" s="45">
        <v>15</v>
      </c>
      <c r="C96" s="43" t="s">
        <v>112</v>
      </c>
      <c r="D96" s="58" t="s">
        <v>107</v>
      </c>
      <c r="E96" s="58" t="s">
        <v>104</v>
      </c>
      <c r="F96" s="21"/>
    </row>
    <row r="97" spans="1:6" ht="33.75" customHeight="1">
      <c r="A97" s="40">
        <v>94</v>
      </c>
      <c r="B97" s="45">
        <v>351</v>
      </c>
      <c r="C97" s="43" t="s">
        <v>128</v>
      </c>
      <c r="D97" s="58" t="s">
        <v>107</v>
      </c>
      <c r="E97" s="58" t="s">
        <v>104</v>
      </c>
      <c r="F97" s="21"/>
    </row>
    <row r="98" spans="1:6" ht="33.75" customHeight="1">
      <c r="A98" s="40">
        <v>95</v>
      </c>
      <c r="B98" s="45">
        <v>243</v>
      </c>
      <c r="C98" s="43" t="s">
        <v>91</v>
      </c>
      <c r="D98" s="58" t="s">
        <v>95</v>
      </c>
      <c r="E98" s="58" t="s">
        <v>98</v>
      </c>
      <c r="F98" s="21"/>
    </row>
    <row r="99" spans="1:6" ht="33.75" customHeight="1">
      <c r="A99" s="40">
        <v>96</v>
      </c>
      <c r="B99" s="45">
        <v>334</v>
      </c>
      <c r="C99" s="43" t="s">
        <v>128</v>
      </c>
      <c r="D99" s="58" t="s">
        <v>85</v>
      </c>
      <c r="E99" s="58" t="s">
        <v>91</v>
      </c>
      <c r="F99" s="21"/>
    </row>
    <row r="100" spans="1:6" ht="33.75" customHeight="1">
      <c r="A100" s="40">
        <v>97</v>
      </c>
      <c r="B100" s="45">
        <v>349</v>
      </c>
      <c r="C100" s="43" t="s">
        <v>91</v>
      </c>
      <c r="D100" s="58" t="s">
        <v>93</v>
      </c>
      <c r="E100" s="58" t="s">
        <v>104</v>
      </c>
      <c r="F100" s="21"/>
    </row>
    <row r="101" spans="1:6" ht="33.75" customHeight="1">
      <c r="A101" s="40">
        <v>98</v>
      </c>
      <c r="B101" s="45">
        <v>431</v>
      </c>
      <c r="C101" s="43" t="s">
        <v>107</v>
      </c>
      <c r="D101" s="58" t="s">
        <v>91</v>
      </c>
      <c r="E101" s="58" t="s">
        <v>89</v>
      </c>
      <c r="F101" s="21"/>
    </row>
    <row r="102" spans="1:6" ht="33.75" customHeight="1">
      <c r="A102" s="40">
        <v>99</v>
      </c>
      <c r="B102" s="45">
        <v>326</v>
      </c>
      <c r="C102" s="43" t="s">
        <v>112</v>
      </c>
      <c r="D102" s="58" t="s">
        <v>101</v>
      </c>
      <c r="E102" s="58" t="s">
        <v>93</v>
      </c>
      <c r="F102" s="21"/>
    </row>
    <row r="103" spans="1:6" ht="33.75" customHeight="1">
      <c r="A103" s="40">
        <v>100</v>
      </c>
      <c r="B103" s="45">
        <v>270</v>
      </c>
      <c r="C103" s="43" t="s">
        <v>114</v>
      </c>
      <c r="D103" s="58" t="s">
        <v>121</v>
      </c>
      <c r="E103" s="20" t="s">
        <v>97</v>
      </c>
      <c r="F103" s="21"/>
    </row>
    <row r="104" spans="1:6" ht="33.75" customHeight="1">
      <c r="A104" s="40">
        <v>101</v>
      </c>
      <c r="B104" s="45">
        <v>56</v>
      </c>
      <c r="C104" s="43" t="s">
        <v>91</v>
      </c>
      <c r="D104" s="58" t="s">
        <v>112</v>
      </c>
      <c r="E104" s="20" t="s">
        <v>89</v>
      </c>
      <c r="F104" s="21"/>
    </row>
    <row r="105" spans="1:6" ht="33.75" customHeight="1">
      <c r="A105" s="40">
        <v>102</v>
      </c>
      <c r="B105" s="45">
        <v>67</v>
      </c>
      <c r="C105" s="43" t="s">
        <v>91</v>
      </c>
      <c r="D105" s="58" t="s">
        <v>98</v>
      </c>
      <c r="E105" s="58" t="s">
        <v>95</v>
      </c>
      <c r="F105" s="21"/>
    </row>
    <row r="106" spans="1:6" ht="33.75" customHeight="1">
      <c r="A106" s="40">
        <v>103</v>
      </c>
      <c r="B106" s="45">
        <v>146</v>
      </c>
      <c r="C106" s="43" t="s">
        <v>91</v>
      </c>
      <c r="D106" s="58" t="s">
        <v>98</v>
      </c>
      <c r="E106" s="58" t="s">
        <v>95</v>
      </c>
      <c r="F106" s="21"/>
    </row>
    <row r="107" spans="1:6" ht="33.75" customHeight="1">
      <c r="A107" s="40">
        <v>104</v>
      </c>
      <c r="B107" s="45">
        <v>289</v>
      </c>
      <c r="C107" s="43" t="s">
        <v>101</v>
      </c>
      <c r="D107" s="58" t="s">
        <v>106</v>
      </c>
      <c r="E107" s="58" t="s">
        <v>93</v>
      </c>
      <c r="F107" s="21"/>
    </row>
    <row r="108" spans="1:6" ht="33.75" customHeight="1">
      <c r="A108" s="40">
        <v>105</v>
      </c>
      <c r="B108" s="45">
        <v>175</v>
      </c>
      <c r="C108" s="43" t="s">
        <v>95</v>
      </c>
      <c r="D108" s="58" t="s">
        <v>89</v>
      </c>
      <c r="E108" s="58" t="s">
        <v>112</v>
      </c>
      <c r="F108" s="21"/>
    </row>
    <row r="109" spans="1:6" ht="33.75" customHeight="1">
      <c r="A109" s="40">
        <v>106</v>
      </c>
      <c r="B109" s="45">
        <v>457</v>
      </c>
      <c r="C109" s="43" t="s">
        <v>91</v>
      </c>
      <c r="D109" s="58" t="s">
        <v>104</v>
      </c>
      <c r="E109" s="58" t="s">
        <v>93</v>
      </c>
      <c r="F109" s="21"/>
    </row>
    <row r="110" spans="1:6" ht="33.75" customHeight="1">
      <c r="A110" s="40">
        <v>107</v>
      </c>
      <c r="B110" s="45">
        <v>253</v>
      </c>
      <c r="C110" s="43" t="s">
        <v>91</v>
      </c>
      <c r="D110" s="58" t="s">
        <v>142</v>
      </c>
      <c r="E110" s="58" t="s">
        <v>89</v>
      </c>
      <c r="F110" s="21"/>
    </row>
    <row r="111" spans="1:6" ht="33.75" customHeight="1">
      <c r="A111" s="40">
        <v>108</v>
      </c>
      <c r="B111" s="45">
        <v>91</v>
      </c>
      <c r="C111" s="43" t="s">
        <v>93</v>
      </c>
      <c r="D111" s="58" t="s">
        <v>95</v>
      </c>
      <c r="E111" s="58" t="s">
        <v>104</v>
      </c>
      <c r="F111" s="21"/>
    </row>
    <row r="112" spans="1:6" ht="33.75" customHeight="1">
      <c r="A112" s="40">
        <v>109</v>
      </c>
      <c r="B112" s="45">
        <v>192</v>
      </c>
      <c r="C112" s="43" t="s">
        <v>88</v>
      </c>
      <c r="D112" s="58" t="s">
        <v>114</v>
      </c>
      <c r="E112" s="58" t="s">
        <v>112</v>
      </c>
      <c r="F112" s="21"/>
    </row>
    <row r="113" spans="1:6" ht="33.75" customHeight="1">
      <c r="A113" s="40">
        <v>110</v>
      </c>
      <c r="B113" s="45">
        <v>207</v>
      </c>
      <c r="C113" s="43" t="s">
        <v>95</v>
      </c>
      <c r="D113" s="58" t="s">
        <v>104</v>
      </c>
      <c r="E113" s="58" t="s">
        <v>91</v>
      </c>
      <c r="F113" s="21"/>
    </row>
    <row r="114" spans="1:6" ht="33.75" customHeight="1">
      <c r="A114" s="40">
        <v>111</v>
      </c>
      <c r="B114" s="45">
        <v>195</v>
      </c>
      <c r="C114" s="43" t="s">
        <v>89</v>
      </c>
      <c r="D114" s="58" t="s">
        <v>112</v>
      </c>
      <c r="E114" s="58" t="s">
        <v>98</v>
      </c>
      <c r="F114" s="21"/>
    </row>
    <row r="115" spans="1:6" ht="33.75" customHeight="1">
      <c r="A115" s="40">
        <v>112</v>
      </c>
      <c r="B115" s="45">
        <v>352</v>
      </c>
      <c r="C115" s="43" t="s">
        <v>85</v>
      </c>
      <c r="D115" s="58" t="s">
        <v>144</v>
      </c>
      <c r="E115" s="58" t="s">
        <v>105</v>
      </c>
      <c r="F115" s="21"/>
    </row>
    <row r="116" spans="1:6" ht="33.75" customHeight="1">
      <c r="A116" s="40">
        <v>113</v>
      </c>
      <c r="B116" s="45">
        <v>262</v>
      </c>
      <c r="C116" s="43" t="s">
        <v>106</v>
      </c>
      <c r="D116" s="58" t="s">
        <v>104</v>
      </c>
      <c r="E116" s="58" t="s">
        <v>101</v>
      </c>
      <c r="F116" s="21"/>
    </row>
    <row r="117" spans="1:6" ht="33.75" customHeight="1">
      <c r="A117" s="40">
        <v>114</v>
      </c>
      <c r="B117" s="45">
        <v>82</v>
      </c>
      <c r="C117" s="43" t="s">
        <v>112</v>
      </c>
      <c r="D117" s="58" t="s">
        <v>96</v>
      </c>
      <c r="E117" s="58" t="s">
        <v>93</v>
      </c>
      <c r="F117" s="21"/>
    </row>
    <row r="118" spans="1:6" ht="33.75" customHeight="1">
      <c r="A118" s="40">
        <v>115</v>
      </c>
      <c r="B118" s="45">
        <v>84</v>
      </c>
      <c r="C118" s="43" t="s">
        <v>83</v>
      </c>
      <c r="D118" s="58" t="s">
        <v>89</v>
      </c>
      <c r="E118" s="58" t="s">
        <v>86</v>
      </c>
      <c r="F118" s="21"/>
    </row>
    <row r="119" spans="1:6" ht="33.75" customHeight="1">
      <c r="A119" s="40">
        <v>116</v>
      </c>
      <c r="B119" s="45">
        <v>263</v>
      </c>
      <c r="C119" s="43" t="s">
        <v>91</v>
      </c>
      <c r="D119" s="58" t="s">
        <v>98</v>
      </c>
      <c r="E119" s="58" t="s">
        <v>104</v>
      </c>
      <c r="F119" s="21"/>
    </row>
    <row r="120" spans="1:6" ht="33.75" customHeight="1">
      <c r="A120" s="40">
        <v>117</v>
      </c>
      <c r="B120" s="45">
        <v>268</v>
      </c>
      <c r="C120" s="43" t="s">
        <v>104</v>
      </c>
      <c r="D120" s="58" t="s">
        <v>90</v>
      </c>
      <c r="E120" s="58" t="s">
        <v>91</v>
      </c>
      <c r="F120" s="21"/>
    </row>
    <row r="121" spans="1:6" ht="33.75" customHeight="1">
      <c r="A121" s="40">
        <v>118</v>
      </c>
      <c r="B121" s="45">
        <v>439</v>
      </c>
      <c r="C121" s="43" t="s">
        <v>99</v>
      </c>
      <c r="D121" s="58" t="s">
        <v>87</v>
      </c>
      <c r="E121" s="58" t="s">
        <v>115</v>
      </c>
      <c r="F121" s="21"/>
    </row>
    <row r="122" spans="1:6" ht="33.75" customHeight="1">
      <c r="A122" s="40">
        <v>119</v>
      </c>
      <c r="B122" s="45">
        <v>266</v>
      </c>
      <c r="C122" s="43" t="s">
        <v>86</v>
      </c>
      <c r="D122" s="58" t="s">
        <v>103</v>
      </c>
      <c r="E122" s="58" t="s">
        <v>88</v>
      </c>
      <c r="F122" s="21"/>
    </row>
    <row r="123" spans="1:6" ht="33.75" customHeight="1">
      <c r="A123" s="40">
        <v>120</v>
      </c>
      <c r="B123" s="45">
        <v>157</v>
      </c>
      <c r="C123" s="43" t="s">
        <v>104</v>
      </c>
      <c r="D123" s="58" t="s">
        <v>107</v>
      </c>
      <c r="E123" s="58" t="s">
        <v>89</v>
      </c>
      <c r="F123" s="21"/>
    </row>
    <row r="124" spans="1:6" ht="33.75" customHeight="1">
      <c r="A124" s="40">
        <v>121</v>
      </c>
      <c r="B124" s="45">
        <v>154</v>
      </c>
      <c r="C124" s="43" t="s">
        <v>91</v>
      </c>
      <c r="D124" s="58" t="s">
        <v>85</v>
      </c>
      <c r="E124" s="58" t="s">
        <v>112</v>
      </c>
      <c r="F124" s="21"/>
    </row>
    <row r="125" spans="1:6" ht="33.75" customHeight="1">
      <c r="A125" s="40">
        <v>122</v>
      </c>
      <c r="B125" s="45">
        <v>62</v>
      </c>
      <c r="C125" s="57" t="s">
        <v>112</v>
      </c>
      <c r="D125" s="58" t="s">
        <v>89</v>
      </c>
      <c r="E125" s="58" t="s">
        <v>91</v>
      </c>
      <c r="F125" s="21"/>
    </row>
    <row r="126" spans="1:6" ht="33.75" customHeight="1">
      <c r="A126" s="40">
        <v>123</v>
      </c>
      <c r="B126" s="45">
        <v>258</v>
      </c>
      <c r="C126" s="57" t="s">
        <v>95</v>
      </c>
      <c r="D126" s="58" t="s">
        <v>104</v>
      </c>
      <c r="E126" s="58" t="s">
        <v>107</v>
      </c>
      <c r="F126" s="21"/>
    </row>
    <row r="127" spans="1:6" ht="33.75" customHeight="1">
      <c r="A127" s="40">
        <v>124</v>
      </c>
      <c r="B127" s="45">
        <v>257</v>
      </c>
      <c r="C127" s="57" t="s">
        <v>91</v>
      </c>
      <c r="D127" s="58" t="s">
        <v>112</v>
      </c>
      <c r="E127" s="58" t="s">
        <v>89</v>
      </c>
      <c r="F127" s="21"/>
    </row>
    <row r="128" spans="1:6" ht="33.75" customHeight="1">
      <c r="A128" s="40">
        <v>125</v>
      </c>
      <c r="B128" s="45">
        <v>260</v>
      </c>
      <c r="C128" s="57" t="s">
        <v>89</v>
      </c>
      <c r="D128" s="58" t="s">
        <v>95</v>
      </c>
      <c r="E128" s="58" t="s">
        <v>112</v>
      </c>
      <c r="F128" s="21"/>
    </row>
    <row r="129" spans="1:6" ht="33.75" customHeight="1">
      <c r="A129" s="40">
        <v>126</v>
      </c>
      <c r="B129" s="45">
        <v>246</v>
      </c>
      <c r="C129" s="57" t="s">
        <v>95</v>
      </c>
      <c r="D129" s="58" t="s">
        <v>98</v>
      </c>
      <c r="E129" s="58" t="s">
        <v>107</v>
      </c>
      <c r="F129" s="21"/>
    </row>
    <row r="130" spans="1:6" ht="33.75" customHeight="1">
      <c r="A130" s="40">
        <v>127</v>
      </c>
      <c r="B130" s="45">
        <v>235</v>
      </c>
      <c r="C130" s="57" t="s">
        <v>124</v>
      </c>
      <c r="D130" s="58" t="s">
        <v>112</v>
      </c>
      <c r="E130" s="58" t="s">
        <v>106</v>
      </c>
      <c r="F130" s="21"/>
    </row>
    <row r="131" spans="1:6" ht="33.75" customHeight="1">
      <c r="A131" s="40">
        <v>128</v>
      </c>
      <c r="B131" s="45">
        <v>244</v>
      </c>
      <c r="C131" s="23" t="s">
        <v>112</v>
      </c>
      <c r="D131" s="20" t="s">
        <v>93</v>
      </c>
      <c r="E131" s="20" t="s">
        <v>89</v>
      </c>
      <c r="F131" s="21"/>
    </row>
    <row r="132" spans="1:6" ht="33.75" customHeight="1">
      <c r="A132" s="40">
        <v>129</v>
      </c>
      <c r="B132" s="45">
        <v>61</v>
      </c>
      <c r="C132" s="43" t="s">
        <v>91</v>
      </c>
      <c r="D132" s="20" t="s">
        <v>98</v>
      </c>
      <c r="E132" s="20" t="s">
        <v>95</v>
      </c>
      <c r="F132" s="21"/>
    </row>
    <row r="133" spans="1:6" ht="33.75" customHeight="1">
      <c r="A133" s="40">
        <v>130</v>
      </c>
      <c r="B133" s="45">
        <v>136</v>
      </c>
      <c r="C133" s="57" t="s">
        <v>112</v>
      </c>
      <c r="D133" s="58" t="s">
        <v>96</v>
      </c>
      <c r="E133" s="58" t="s">
        <v>95</v>
      </c>
      <c r="F133" s="21"/>
    </row>
    <row r="134" spans="1:6" ht="33.75" customHeight="1">
      <c r="A134" s="40">
        <v>131</v>
      </c>
      <c r="B134" s="45">
        <v>59</v>
      </c>
      <c r="C134" s="57" t="s">
        <v>95</v>
      </c>
      <c r="D134" s="58" t="s">
        <v>98</v>
      </c>
      <c r="E134" s="58" t="s">
        <v>93</v>
      </c>
      <c r="F134" s="21"/>
    </row>
    <row r="135" spans="1:6" ht="33.75" customHeight="1">
      <c r="A135" s="40">
        <v>132</v>
      </c>
      <c r="B135" s="45">
        <v>455</v>
      </c>
      <c r="C135" s="57" t="s">
        <v>91</v>
      </c>
      <c r="D135" s="58" t="s">
        <v>112</v>
      </c>
      <c r="E135" s="58" t="s">
        <v>89</v>
      </c>
      <c r="F135" s="21"/>
    </row>
    <row r="136" spans="1:6" ht="33.75" customHeight="1">
      <c r="A136" s="40">
        <v>133</v>
      </c>
      <c r="B136" s="45">
        <v>250</v>
      </c>
      <c r="C136" s="57" t="s">
        <v>91</v>
      </c>
      <c r="D136" s="58" t="s">
        <v>89</v>
      </c>
      <c r="E136" s="58" t="s">
        <v>98</v>
      </c>
      <c r="F136" s="21"/>
    </row>
    <row r="137" spans="1:6" ht="33.75" customHeight="1">
      <c r="A137" s="40">
        <v>134</v>
      </c>
      <c r="B137" s="45">
        <v>286</v>
      </c>
      <c r="C137" s="57" t="s">
        <v>93</v>
      </c>
      <c r="D137" s="58" t="s">
        <v>112</v>
      </c>
      <c r="E137" s="58" t="s">
        <v>89</v>
      </c>
      <c r="F137" s="21"/>
    </row>
    <row r="138" spans="1:6" ht="33.75" customHeight="1">
      <c r="A138" s="40">
        <v>135</v>
      </c>
      <c r="B138" s="45">
        <v>281</v>
      </c>
      <c r="C138" s="57" t="s">
        <v>112</v>
      </c>
      <c r="D138" s="58" t="s">
        <v>106</v>
      </c>
      <c r="E138" s="58" t="s">
        <v>89</v>
      </c>
      <c r="F138" s="21"/>
    </row>
    <row r="139" spans="1:6" ht="33.75" customHeight="1">
      <c r="A139" s="40">
        <v>136</v>
      </c>
      <c r="B139" s="45">
        <v>290</v>
      </c>
      <c r="C139" s="57" t="s">
        <v>85</v>
      </c>
      <c r="D139" s="58" t="s">
        <v>89</v>
      </c>
      <c r="E139" s="58" t="s">
        <v>91</v>
      </c>
      <c r="F139" s="21"/>
    </row>
    <row r="140" spans="1:6" ht="33.75" customHeight="1">
      <c r="A140" s="40">
        <v>137</v>
      </c>
      <c r="B140" s="45">
        <v>283</v>
      </c>
      <c r="C140" s="57" t="s">
        <v>91</v>
      </c>
      <c r="D140" s="58" t="s">
        <v>112</v>
      </c>
      <c r="E140" s="58" t="s">
        <v>113</v>
      </c>
      <c r="F140" s="21"/>
    </row>
    <row r="141" spans="1:6" ht="33.75" customHeight="1">
      <c r="A141" s="40">
        <v>138</v>
      </c>
      <c r="B141" s="45">
        <v>401</v>
      </c>
      <c r="C141" s="57" t="s">
        <v>89</v>
      </c>
      <c r="D141" s="58" t="s">
        <v>85</v>
      </c>
      <c r="E141" s="58" t="s">
        <v>98</v>
      </c>
      <c r="F141" s="21"/>
    </row>
    <row r="142" spans="1:6" ht="33.75" customHeight="1">
      <c r="A142" s="40">
        <v>139</v>
      </c>
      <c r="B142" s="45">
        <v>170</v>
      </c>
      <c r="C142" s="57" t="s">
        <v>93</v>
      </c>
      <c r="D142" s="58" t="s">
        <v>89</v>
      </c>
      <c r="E142" s="58" t="s">
        <v>112</v>
      </c>
      <c r="F142" s="21"/>
    </row>
    <row r="143" spans="1:6" ht="33.75" customHeight="1">
      <c r="A143" s="40">
        <v>140</v>
      </c>
      <c r="B143" s="45">
        <v>164</v>
      </c>
      <c r="C143" s="57" t="s">
        <v>85</v>
      </c>
      <c r="D143" s="58" t="s">
        <v>112</v>
      </c>
      <c r="E143" s="58" t="s">
        <v>89</v>
      </c>
      <c r="F143" s="21"/>
    </row>
    <row r="144" spans="1:6" ht="33.75" customHeight="1">
      <c r="A144" s="40">
        <v>141</v>
      </c>
      <c r="B144" s="45">
        <v>276</v>
      </c>
      <c r="C144" s="57" t="s">
        <v>93</v>
      </c>
      <c r="D144" s="58" t="s">
        <v>112</v>
      </c>
      <c r="E144" s="58" t="s">
        <v>85</v>
      </c>
      <c r="F144" s="21"/>
    </row>
    <row r="145" spans="1:6" ht="33.75" customHeight="1">
      <c r="A145" s="40">
        <v>142</v>
      </c>
      <c r="B145" s="45">
        <v>306</v>
      </c>
      <c r="C145" s="57" t="s">
        <v>91</v>
      </c>
      <c r="D145" s="58" t="s">
        <v>98</v>
      </c>
      <c r="E145" s="58" t="s">
        <v>104</v>
      </c>
      <c r="F145" s="21"/>
    </row>
    <row r="146" spans="1:6" ht="33.75" customHeight="1">
      <c r="A146" s="40">
        <v>143</v>
      </c>
      <c r="B146" s="45">
        <v>74</v>
      </c>
      <c r="C146" s="57" t="s">
        <v>89</v>
      </c>
      <c r="D146" s="58" t="s">
        <v>91</v>
      </c>
      <c r="E146" s="58" t="s">
        <v>101</v>
      </c>
      <c r="F146" s="21"/>
    </row>
    <row r="147" spans="1:6" ht="33.75" customHeight="1">
      <c r="A147" s="40">
        <v>144</v>
      </c>
      <c r="B147" s="45">
        <v>152</v>
      </c>
      <c r="C147" s="57" t="s">
        <v>91</v>
      </c>
      <c r="D147" s="58" t="s">
        <v>90</v>
      </c>
      <c r="E147" s="58" t="s">
        <v>89</v>
      </c>
      <c r="F147" s="21"/>
    </row>
    <row r="148" spans="1:6" ht="33.75" customHeight="1">
      <c r="A148" s="40">
        <v>145</v>
      </c>
      <c r="B148" s="45">
        <v>143</v>
      </c>
      <c r="C148" s="57" t="s">
        <v>112</v>
      </c>
      <c r="D148" s="58" t="s">
        <v>89</v>
      </c>
      <c r="E148" s="58" t="s">
        <v>91</v>
      </c>
      <c r="F148" s="21"/>
    </row>
    <row r="149" spans="1:6" ht="33.75" customHeight="1">
      <c r="A149" s="40">
        <v>146</v>
      </c>
      <c r="B149" s="45">
        <v>75</v>
      </c>
      <c r="C149" s="57" t="s">
        <v>91</v>
      </c>
      <c r="D149" s="58" t="s">
        <v>112</v>
      </c>
      <c r="E149" s="58" t="s">
        <v>93</v>
      </c>
      <c r="F149" s="21"/>
    </row>
    <row r="150" spans="1:6" ht="33.75" customHeight="1">
      <c r="A150" s="40">
        <v>147</v>
      </c>
      <c r="B150" s="45">
        <v>72</v>
      </c>
      <c r="C150" s="57" t="s">
        <v>91</v>
      </c>
      <c r="D150" s="58" t="s">
        <v>98</v>
      </c>
      <c r="E150" s="58" t="s">
        <v>89</v>
      </c>
      <c r="F150" s="21"/>
    </row>
    <row r="151" spans="1:6" ht="33.75" customHeight="1">
      <c r="A151" s="40">
        <v>148</v>
      </c>
      <c r="B151" s="45">
        <v>159</v>
      </c>
      <c r="C151" s="57" t="s">
        <v>91</v>
      </c>
      <c r="D151" s="58" t="s">
        <v>98</v>
      </c>
      <c r="E151" s="58" t="s">
        <v>101</v>
      </c>
      <c r="F151" s="21"/>
    </row>
    <row r="152" spans="1:6" ht="33.75" customHeight="1">
      <c r="A152" s="40">
        <v>149</v>
      </c>
      <c r="B152" s="45">
        <v>273</v>
      </c>
      <c r="C152" s="57" t="s">
        <v>91</v>
      </c>
      <c r="D152" s="58" t="s">
        <v>89</v>
      </c>
      <c r="E152" s="58" t="s">
        <v>85</v>
      </c>
      <c r="F152" s="21"/>
    </row>
    <row r="153" spans="1:6" ht="33.75" customHeight="1">
      <c r="A153" s="40">
        <v>150</v>
      </c>
      <c r="B153" s="45">
        <v>162</v>
      </c>
      <c r="C153" s="57" t="s">
        <v>112</v>
      </c>
      <c r="D153" s="58" t="s">
        <v>89</v>
      </c>
      <c r="E153" s="58" t="s">
        <v>91</v>
      </c>
      <c r="F153" s="21"/>
    </row>
    <row r="154" spans="1:6" ht="33.75" customHeight="1">
      <c r="A154" s="40">
        <v>151</v>
      </c>
      <c r="B154" s="45">
        <v>256</v>
      </c>
      <c r="C154" s="57" t="s">
        <v>98</v>
      </c>
      <c r="D154" s="58" t="s">
        <v>91</v>
      </c>
      <c r="E154" s="58" t="s">
        <v>104</v>
      </c>
      <c r="F154" s="21"/>
    </row>
    <row r="155" spans="1:6" ht="33.75" customHeight="1">
      <c r="A155" s="40">
        <v>152</v>
      </c>
      <c r="B155" s="45"/>
      <c r="C155" s="23"/>
      <c r="D155" s="20"/>
      <c r="E155" s="20"/>
      <c r="F155" s="21"/>
    </row>
    <row r="156" spans="1:6" ht="33.75" customHeight="1">
      <c r="A156" s="40">
        <v>153</v>
      </c>
      <c r="B156" s="45"/>
      <c r="C156" s="43"/>
      <c r="D156" s="20"/>
      <c r="E156" s="20"/>
      <c r="F156" s="21"/>
    </row>
    <row r="157" spans="1:6" ht="33.75" customHeight="1">
      <c r="A157" s="40">
        <v>154</v>
      </c>
      <c r="B157" s="45"/>
      <c r="C157" s="57"/>
      <c r="D157" s="58"/>
      <c r="E157" s="58"/>
      <c r="F157" s="21"/>
    </row>
    <row r="158" spans="1:6" ht="33.75" customHeight="1">
      <c r="A158" s="40">
        <v>155</v>
      </c>
      <c r="B158" s="45"/>
      <c r="C158" s="57"/>
      <c r="D158" s="58"/>
      <c r="E158" s="58"/>
      <c r="F158" s="21"/>
    </row>
    <row r="159" spans="1:6" ht="33.75" customHeight="1">
      <c r="A159" s="40">
        <v>156</v>
      </c>
      <c r="B159" s="45"/>
      <c r="C159" s="57"/>
      <c r="D159" s="58"/>
      <c r="E159" s="58"/>
      <c r="F159" s="21"/>
    </row>
    <row r="160" spans="1:6" ht="33.75" customHeight="1">
      <c r="A160" s="40">
        <v>157</v>
      </c>
      <c r="B160" s="45"/>
      <c r="C160" s="57"/>
      <c r="D160" s="58"/>
      <c r="E160" s="58"/>
      <c r="F160" s="21"/>
    </row>
    <row r="161" spans="1:6" ht="33.75" customHeight="1">
      <c r="A161" s="40">
        <v>158</v>
      </c>
      <c r="B161" s="45"/>
      <c r="C161" s="57"/>
      <c r="D161" s="58"/>
      <c r="E161" s="58"/>
      <c r="F161" s="21"/>
    </row>
    <row r="162" spans="1:6" ht="33.75" customHeight="1">
      <c r="A162" s="40">
        <v>159</v>
      </c>
      <c r="B162" s="45"/>
      <c r="C162" s="57"/>
      <c r="D162" s="58"/>
      <c r="E162" s="58"/>
      <c r="F162" s="21"/>
    </row>
    <row r="163" spans="1:6" ht="33.75" customHeight="1">
      <c r="A163" s="40">
        <v>160</v>
      </c>
      <c r="B163" s="45"/>
      <c r="C163" s="57"/>
      <c r="D163" s="58"/>
      <c r="E163" s="58"/>
      <c r="F163" s="21"/>
    </row>
    <row r="164" spans="1:6" ht="33.75" customHeight="1">
      <c r="A164" s="40">
        <v>161</v>
      </c>
      <c r="B164" s="45"/>
      <c r="C164" s="57"/>
      <c r="D164" s="58"/>
      <c r="E164" s="58"/>
      <c r="F164" s="21"/>
    </row>
    <row r="165" spans="1:6" ht="33.75" customHeight="1">
      <c r="A165" s="40">
        <v>162</v>
      </c>
      <c r="B165" s="45"/>
      <c r="C165" s="57"/>
      <c r="D165" s="58"/>
      <c r="E165" s="58"/>
      <c r="F165" s="21"/>
    </row>
    <row r="166" spans="1:6" ht="33.75" customHeight="1">
      <c r="A166" s="40">
        <v>163</v>
      </c>
      <c r="B166" s="45"/>
      <c r="C166" s="57"/>
      <c r="D166" s="58"/>
      <c r="E166" s="58"/>
      <c r="F166" s="21"/>
    </row>
    <row r="167" spans="1:6" ht="33.75" customHeight="1">
      <c r="A167" s="40">
        <v>164</v>
      </c>
      <c r="B167" s="45"/>
      <c r="C167" s="57"/>
      <c r="D167" s="58"/>
      <c r="E167" s="58"/>
      <c r="F167" s="21"/>
    </row>
    <row r="168" spans="1:6" ht="33.75" customHeight="1">
      <c r="A168" s="40">
        <v>165</v>
      </c>
      <c r="B168" s="45"/>
      <c r="C168" s="57"/>
      <c r="D168" s="58"/>
      <c r="E168" s="58"/>
      <c r="F168" s="21"/>
    </row>
    <row r="169" spans="1:6" ht="33.75" customHeight="1">
      <c r="A169" s="40">
        <v>166</v>
      </c>
      <c r="B169" s="45"/>
      <c r="C169" s="57"/>
      <c r="D169" s="58"/>
      <c r="E169" s="58"/>
      <c r="F169" s="21"/>
    </row>
    <row r="170" spans="1:6" ht="33.75" customHeight="1">
      <c r="A170" s="40">
        <v>167</v>
      </c>
      <c r="B170" s="45"/>
      <c r="C170" s="57"/>
      <c r="D170" s="58"/>
      <c r="E170" s="58"/>
      <c r="F170" s="21"/>
    </row>
    <row r="171" spans="1:6" ht="33.75" customHeight="1">
      <c r="A171" s="40">
        <v>168</v>
      </c>
      <c r="B171" s="45"/>
      <c r="C171" s="57"/>
      <c r="D171" s="58"/>
      <c r="E171" s="58"/>
      <c r="F171" s="21"/>
    </row>
    <row r="172" spans="1:6" ht="33.75" customHeight="1">
      <c r="A172" s="40">
        <v>169</v>
      </c>
      <c r="B172" s="45"/>
      <c r="C172" s="57"/>
      <c r="D172" s="58"/>
      <c r="E172" s="58"/>
      <c r="F172" s="21"/>
    </row>
    <row r="173" spans="1:6" ht="33.75" customHeight="1">
      <c r="A173" s="40">
        <v>170</v>
      </c>
      <c r="B173" s="45"/>
      <c r="C173" s="57"/>
      <c r="D173" s="58"/>
      <c r="E173" s="58"/>
      <c r="F173" s="21"/>
    </row>
    <row r="174" spans="1:6" ht="33.75" customHeight="1">
      <c r="A174" s="40">
        <v>171</v>
      </c>
      <c r="B174" s="45"/>
      <c r="C174" s="57"/>
      <c r="D174" s="58"/>
      <c r="E174" s="58"/>
      <c r="F174" s="21"/>
    </row>
    <row r="175" spans="1:6" ht="33.75" customHeight="1">
      <c r="A175" s="40">
        <v>172</v>
      </c>
      <c r="B175" s="45"/>
      <c r="C175" s="57"/>
      <c r="D175" s="58"/>
      <c r="E175" s="58"/>
      <c r="F175" s="21"/>
    </row>
    <row r="176" spans="1:6" ht="33.75" customHeight="1">
      <c r="A176" s="40">
        <v>173</v>
      </c>
      <c r="B176" s="45"/>
      <c r="C176" s="57"/>
      <c r="D176" s="58"/>
      <c r="E176" s="58"/>
      <c r="F176" s="21"/>
    </row>
    <row r="177" spans="1:6" ht="33.75" customHeight="1">
      <c r="A177" s="40">
        <v>174</v>
      </c>
      <c r="B177" s="45"/>
      <c r="C177" s="57"/>
      <c r="D177" s="58"/>
      <c r="E177" s="58"/>
      <c r="F177" s="21"/>
    </row>
    <row r="178" spans="1:6" ht="33.75" customHeight="1">
      <c r="A178" s="40">
        <v>175</v>
      </c>
      <c r="B178" s="45"/>
      <c r="C178" s="57"/>
      <c r="D178" s="58"/>
      <c r="E178" s="58"/>
      <c r="F178" s="21"/>
    </row>
    <row r="179" spans="1:6" ht="33.75" customHeight="1">
      <c r="A179" s="40">
        <v>176</v>
      </c>
      <c r="B179" s="45"/>
      <c r="C179" s="23"/>
      <c r="D179" s="20"/>
      <c r="E179" s="20"/>
      <c r="F179" s="21"/>
    </row>
    <row r="180" spans="1:6" ht="33.75" customHeight="1">
      <c r="A180" s="40">
        <v>177</v>
      </c>
      <c r="B180" s="45"/>
      <c r="C180" s="43"/>
      <c r="D180" s="20"/>
      <c r="E180" s="20"/>
      <c r="F180" s="21"/>
    </row>
    <row r="181" spans="1:6" ht="33.75" customHeight="1">
      <c r="A181" s="40">
        <v>178</v>
      </c>
      <c r="B181" s="45"/>
      <c r="C181" s="57"/>
      <c r="D181" s="58"/>
      <c r="E181" s="58"/>
      <c r="F181" s="21"/>
    </row>
    <row r="182" spans="1:6" ht="33.75" customHeight="1">
      <c r="A182" s="40">
        <v>179</v>
      </c>
      <c r="B182" s="45"/>
      <c r="C182" s="57"/>
      <c r="D182" s="58"/>
      <c r="E182" s="58"/>
      <c r="F182" s="21"/>
    </row>
    <row r="183" spans="1:6" ht="33.75" customHeight="1">
      <c r="A183" s="40">
        <v>180</v>
      </c>
      <c r="B183" s="45"/>
      <c r="C183" s="57"/>
      <c r="D183" s="58"/>
      <c r="E183" s="58"/>
      <c r="F183" s="21"/>
    </row>
    <row r="184" spans="1:6" ht="33.75" customHeight="1">
      <c r="A184" s="40">
        <v>181</v>
      </c>
      <c r="B184" s="45"/>
      <c r="C184" s="57"/>
      <c r="D184" s="58"/>
      <c r="E184" s="58"/>
      <c r="F184" s="21"/>
    </row>
    <row r="185" spans="1:6" ht="33.75" customHeight="1">
      <c r="A185" s="40">
        <v>182</v>
      </c>
      <c r="B185" s="45"/>
      <c r="C185" s="57"/>
      <c r="D185" s="58"/>
      <c r="E185" s="58"/>
      <c r="F185" s="21"/>
    </row>
    <row r="186" spans="1:6" ht="33.75" customHeight="1">
      <c r="A186" s="40">
        <v>183</v>
      </c>
      <c r="B186" s="45"/>
      <c r="C186" s="57"/>
      <c r="D186" s="58"/>
      <c r="E186" s="58"/>
      <c r="F186" s="21"/>
    </row>
    <row r="187" spans="1:6" ht="33.75" customHeight="1">
      <c r="A187" s="40">
        <v>184</v>
      </c>
      <c r="B187" s="45"/>
      <c r="C187" s="57"/>
      <c r="D187" s="58"/>
      <c r="E187" s="58"/>
      <c r="F187" s="21"/>
    </row>
    <row r="188" spans="1:6" ht="33.75" customHeight="1">
      <c r="A188" s="40">
        <v>185</v>
      </c>
      <c r="B188" s="45"/>
      <c r="C188" s="57"/>
      <c r="D188" s="58"/>
      <c r="E188" s="58"/>
      <c r="F188" s="21"/>
    </row>
    <row r="189" spans="1:6" ht="33.75" customHeight="1">
      <c r="A189" s="40">
        <v>186</v>
      </c>
      <c r="B189" s="45"/>
      <c r="C189" s="57"/>
      <c r="D189" s="58"/>
      <c r="E189" s="58"/>
      <c r="F189" s="21"/>
    </row>
    <row r="190" spans="1:6" ht="33.75" customHeight="1">
      <c r="A190" s="40">
        <v>187</v>
      </c>
      <c r="B190" s="45"/>
      <c r="C190" s="57"/>
      <c r="D190" s="58"/>
      <c r="E190" s="58"/>
      <c r="F190" s="21"/>
    </row>
    <row r="191" spans="1:6" ht="33.75" customHeight="1">
      <c r="A191" s="40">
        <v>188</v>
      </c>
      <c r="B191" s="45"/>
      <c r="C191" s="57"/>
      <c r="D191" s="58"/>
      <c r="E191" s="58"/>
      <c r="F191" s="21"/>
    </row>
    <row r="192" spans="1:6" ht="33.75" customHeight="1">
      <c r="A192" s="40">
        <v>189</v>
      </c>
      <c r="B192" s="45"/>
      <c r="C192" s="57"/>
      <c r="D192" s="58"/>
      <c r="E192" s="58"/>
      <c r="F192" s="21"/>
    </row>
    <row r="193" spans="1:6" ht="33.75" customHeight="1">
      <c r="A193" s="40">
        <v>190</v>
      </c>
      <c r="B193" s="45"/>
      <c r="C193" s="57"/>
      <c r="D193" s="58"/>
      <c r="E193" s="58"/>
      <c r="F193" s="21"/>
    </row>
    <row r="194" spans="1:6" ht="33.75" customHeight="1">
      <c r="A194" s="40">
        <v>191</v>
      </c>
      <c r="B194" s="45"/>
      <c r="C194" s="57"/>
      <c r="D194" s="58"/>
      <c r="E194" s="58"/>
      <c r="F194" s="21"/>
    </row>
    <row r="195" spans="1:6" ht="33.75" customHeight="1">
      <c r="A195" s="40">
        <v>192</v>
      </c>
      <c r="B195" s="45"/>
      <c r="C195" s="57"/>
      <c r="D195" s="58"/>
      <c r="E195" s="58"/>
      <c r="F195" s="21"/>
    </row>
    <row r="196" spans="1:6" ht="33.75" customHeight="1">
      <c r="A196" s="40">
        <v>193</v>
      </c>
      <c r="B196" s="45"/>
      <c r="C196" s="57"/>
      <c r="D196" s="58"/>
      <c r="E196" s="58"/>
      <c r="F196" s="21"/>
    </row>
    <row r="197" spans="1:6" ht="33.75" customHeight="1">
      <c r="A197" s="40">
        <v>194</v>
      </c>
      <c r="B197" s="45"/>
      <c r="C197" s="57"/>
      <c r="D197" s="58"/>
      <c r="E197" s="58"/>
      <c r="F197" s="21"/>
    </row>
    <row r="198" spans="1:6" ht="33.75" customHeight="1">
      <c r="A198" s="40">
        <v>195</v>
      </c>
      <c r="B198" s="45"/>
      <c r="C198" s="57"/>
      <c r="D198" s="58"/>
      <c r="E198" s="58"/>
      <c r="F198" s="21"/>
    </row>
    <row r="199" spans="1:6" ht="33.75" customHeight="1">
      <c r="A199" s="40">
        <v>196</v>
      </c>
      <c r="B199" s="45"/>
      <c r="C199" s="57"/>
      <c r="D199" s="58"/>
      <c r="E199" s="58"/>
      <c r="F199" s="21"/>
    </row>
    <row r="200" spans="1:6" ht="33.75" customHeight="1">
      <c r="A200" s="40">
        <v>197</v>
      </c>
      <c r="B200" s="45"/>
      <c r="C200" s="57"/>
      <c r="D200" s="58"/>
      <c r="E200" s="58"/>
      <c r="F200" s="21"/>
    </row>
    <row r="201" spans="1:6" ht="33.75" customHeight="1">
      <c r="A201" s="40">
        <v>198</v>
      </c>
      <c r="B201" s="45"/>
      <c r="C201" s="57"/>
      <c r="D201" s="58"/>
      <c r="E201" s="58"/>
      <c r="F201" s="21"/>
    </row>
    <row r="202" spans="1:6" ht="33.75" customHeight="1">
      <c r="A202" s="40">
        <v>199</v>
      </c>
      <c r="B202" s="45"/>
      <c r="C202" s="57"/>
      <c r="D202" s="58"/>
      <c r="E202" s="58"/>
      <c r="F202" s="21"/>
    </row>
    <row r="203" spans="1:6" ht="33.75" customHeight="1">
      <c r="A203" s="40">
        <v>200</v>
      </c>
      <c r="B203" s="45"/>
      <c r="C203" s="57"/>
      <c r="D203" s="58"/>
      <c r="E203" s="58"/>
      <c r="F203" s="21"/>
    </row>
    <row r="204" spans="1:6" ht="33.75" customHeight="1">
      <c r="A204" s="40">
        <v>201</v>
      </c>
      <c r="B204" s="45"/>
      <c r="C204" s="57"/>
      <c r="D204" s="58"/>
      <c r="E204" s="58"/>
      <c r="F204" s="21"/>
    </row>
    <row r="205" spans="1:6" ht="33.75" customHeight="1">
      <c r="A205" s="40">
        <v>202</v>
      </c>
      <c r="B205" s="45"/>
      <c r="C205" s="57"/>
      <c r="D205" s="58"/>
      <c r="E205" s="58"/>
      <c r="F205" s="21"/>
    </row>
    <row r="206" spans="1:6" ht="33.75" customHeight="1">
      <c r="A206" s="40">
        <v>203</v>
      </c>
      <c r="B206" s="45"/>
      <c r="C206" s="57"/>
      <c r="D206" s="58"/>
      <c r="E206" s="58"/>
      <c r="F206" s="21"/>
    </row>
    <row r="207" spans="1:6" ht="33.75" customHeight="1">
      <c r="A207" s="40">
        <v>204</v>
      </c>
      <c r="B207" s="45"/>
      <c r="C207" s="57"/>
      <c r="D207" s="58"/>
      <c r="E207" s="58"/>
      <c r="F207" s="21"/>
    </row>
    <row r="208" spans="1:6" ht="33.75" customHeight="1" thickBot="1">
      <c r="A208" s="48"/>
      <c r="B208" s="51"/>
      <c r="C208" s="52"/>
      <c r="D208" s="49"/>
      <c r="E208" s="50"/>
      <c r="F208" s="54"/>
    </row>
    <row r="209" ht="15" thickTop="1"/>
    <row r="1048576" spans="3:3" ht="20">
      <c r="C1048576" s="43" t="s">
        <v>131</v>
      </c>
    </row>
  </sheetData>
  <mergeCells count="3">
    <mergeCell ref="A1:F1"/>
    <mergeCell ref="E2:F2"/>
    <mergeCell ref="H3:J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장로 1차 선거 개표 집계표</vt:lpstr>
      <vt:lpstr>조별합계표</vt:lpstr>
      <vt:lpstr>개표집계표A</vt:lpstr>
      <vt:lpstr>Sheet1</vt:lpstr>
      <vt:lpstr>개표집계표B</vt:lpstr>
      <vt:lpstr>개표집계표C</vt:lpstr>
      <vt:lpstr>'장로 1차 선거 개표 집계표'!Print_Area</vt:lpstr>
    </vt:vector>
  </TitlesOfParts>
  <Manager/>
  <Company>AWANA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near2jesus</dc:creator>
  <cp:keywords/>
  <dc:description/>
  <cp:lastModifiedBy>back cheolu</cp:lastModifiedBy>
  <cp:revision/>
  <dcterms:created xsi:type="dcterms:W3CDTF">2006-11-22T08:16:47Z</dcterms:created>
  <dcterms:modified xsi:type="dcterms:W3CDTF">2023-05-31T11:15:00Z</dcterms:modified>
  <cp:category/>
  <cp:contentStatus/>
</cp:coreProperties>
</file>